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Conteos" sheetId="2" state="visible" r:id="rId4"/>
    <sheet name="Probabilidades" sheetId="3" state="visible" r:id="rId5"/>
    <sheet name="Mapas" sheetId="4" state="visible" r:id="rId6"/>
    <sheet name="Validación" sheetId="5" state="visible" r:id="rId7"/>
  </sheets>
  <definedNames>
    <definedName function="false" hidden="true" localSheetId="2" name="_xlnm._FilterDatabase" vbProcedure="false">Probabilidades!$A$1:$P$170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<sst xmlns="http://schemas.openxmlformats.org/spreadsheetml/2006/main" count="476" uniqueCount="222">
  <si>
    <t xml:space="preserve">Potencial preflop de las 169 manos iniciales de Texas Hold'em</t>
  </si>
  <si>
    <t xml:space="preserve">Qué es: para cada mano, la probabilidad de terminar (al llegar al river) con cada categoría de mano.</t>
  </si>
  <si>
    <t xml:space="preserve">Método: enumeración EXACTA. Para cada mano se recorren los C(50,5) = 2.118.760 tableros posibles y se cuenta en cuántos sale cada categoría. Sin azar ni simulación.</t>
  </si>
  <si>
    <t xml:space="preserve">Categoría = mejor mano de 5 cartas entre tus 2 y las 5 del tablero (7 cartas).</t>
  </si>
  <si>
    <t xml:space="preserve">Las categorías de 'Probabilidades' son excluyentes y suman 100 %. Las columnas acumuladas ('o mejor') suman las categorías superiores.</t>
  </si>
  <si>
    <t xml:space="preserve">'Mejora al tablero': el tablero solo (5 cartas) tiene una categoría; aquí cuenta cuando tus 2 cartas suben esa categoría. Es una medida aproximada de cuánto aportan tus cartas (no detecta mejoras dentro de la misma categoría, p. ej. un color más alto).</t>
  </si>
  <si>
    <t xml:space="preserve">Los palos son simétricos: se calculó una mano representativa por tipo (pareja, suited, offsuit). 'Combos' = cuántas manos concretas de las 1.326 hay de ese tipo (6, 4 o 12).</t>
  </si>
  <si>
    <t xml:space="preserve">Validación: el promedio ponderado por combos coincide EXACTO con el conteo clásico de las 133.784.560 manos de 7 cartas (hoja 'Validación').</t>
  </si>
  <si>
    <t xml:space="preserve">Ojo: potencial NO es equity. Una escalera baja pierde contra un color o una escalera mayor. Esta hoja mide versatilidad, no probabilidad de ganar.</t>
  </si>
  <si>
    <t xml:space="preserve">Mapas: arriba de la diagonal = suited, abajo = offsuit, diagonal = parejas.</t>
  </si>
  <si>
    <t xml:space="preserve">Hojas: Conteos (datos crudos, en azul) → Probabilidades (fórmulas) → Mapas y Validación.</t>
  </si>
  <si>
    <t xml:space="preserve">Mano</t>
  </si>
  <si>
    <t xml:space="preserve">Tipo</t>
  </si>
  <si>
    <t xml:space="preserve">Combos</t>
  </si>
  <si>
    <t xml:space="preserve">Tableros</t>
  </si>
  <si>
    <t xml:space="preserve">Carta alta</t>
  </si>
  <si>
    <t xml:space="preserve">Pareja</t>
  </si>
  <si>
    <t xml:space="preserve">Doble pareja</t>
  </si>
  <si>
    <t xml:space="preserve">Trío</t>
  </si>
  <si>
    <t xml:space="preserve">Escalera</t>
  </si>
  <si>
    <t xml:space="preserve">Color</t>
  </si>
  <si>
    <t xml:space="preserve">Full house</t>
  </si>
  <si>
    <t xml:space="preserve">Póker</t>
  </si>
  <si>
    <t xml:space="preserve">Escalera de color</t>
  </si>
  <si>
    <t xml:space="preserve">Mejora al tablero</t>
  </si>
  <si>
    <t xml:space="preserve">AA</t>
  </si>
  <si>
    <t xml:space="preserve">AKo</t>
  </si>
  <si>
    <t xml:space="preserve">Offsuit</t>
  </si>
  <si>
    <t xml:space="preserve">AKs</t>
  </si>
  <si>
    <t xml:space="preserve">Suited</t>
  </si>
  <si>
    <t xml:space="preserve">AQo</t>
  </si>
  <si>
    <t xml:space="preserve">AQs</t>
  </si>
  <si>
    <t xml:space="preserve">AJo</t>
  </si>
  <si>
    <t xml:space="preserve">AJs</t>
  </si>
  <si>
    <t xml:space="preserve">ATo</t>
  </si>
  <si>
    <t xml:space="preserve">ATs</t>
  </si>
  <si>
    <t xml:space="preserve">A9o</t>
  </si>
  <si>
    <t xml:space="preserve">A9s</t>
  </si>
  <si>
    <t xml:space="preserve">A8o</t>
  </si>
  <si>
    <t xml:space="preserve">A8s</t>
  </si>
  <si>
    <t xml:space="preserve">A7o</t>
  </si>
  <si>
    <t xml:space="preserve">A7s</t>
  </si>
  <si>
    <t xml:space="preserve">A6o</t>
  </si>
  <si>
    <t xml:space="preserve">A6s</t>
  </si>
  <si>
    <t xml:space="preserve">A5o</t>
  </si>
  <si>
    <t xml:space="preserve">A5s</t>
  </si>
  <si>
    <t xml:space="preserve">A4o</t>
  </si>
  <si>
    <t xml:space="preserve">A4s</t>
  </si>
  <si>
    <t xml:space="preserve">A3o</t>
  </si>
  <si>
    <t xml:space="preserve">A3s</t>
  </si>
  <si>
    <t xml:space="preserve">A2o</t>
  </si>
  <si>
    <t xml:space="preserve">A2s</t>
  </si>
  <si>
    <t xml:space="preserve">KK</t>
  </si>
  <si>
    <t xml:space="preserve">KQo</t>
  </si>
  <si>
    <t xml:space="preserve">KQs</t>
  </si>
  <si>
    <t xml:space="preserve">KJo</t>
  </si>
  <si>
    <t xml:space="preserve">KJs</t>
  </si>
  <si>
    <t xml:space="preserve">KTo</t>
  </si>
  <si>
    <t xml:space="preserve">KTs</t>
  </si>
  <si>
    <t xml:space="preserve">K9o</t>
  </si>
  <si>
    <t xml:space="preserve">K9s</t>
  </si>
  <si>
    <t xml:space="preserve">K8o</t>
  </si>
  <si>
    <t xml:space="preserve">K8s</t>
  </si>
  <si>
    <t xml:space="preserve">K7o</t>
  </si>
  <si>
    <t xml:space="preserve">K7s</t>
  </si>
  <si>
    <t xml:space="preserve">K6o</t>
  </si>
  <si>
    <t xml:space="preserve">K6s</t>
  </si>
  <si>
    <t xml:space="preserve">K5o</t>
  </si>
  <si>
    <t xml:space="preserve">K5s</t>
  </si>
  <si>
    <t xml:space="preserve">K4o</t>
  </si>
  <si>
    <t xml:space="preserve">K4s</t>
  </si>
  <si>
    <t xml:space="preserve">K3o</t>
  </si>
  <si>
    <t xml:space="preserve">K3s</t>
  </si>
  <si>
    <t xml:space="preserve">K2o</t>
  </si>
  <si>
    <t xml:space="preserve">K2s</t>
  </si>
  <si>
    <t xml:space="preserve">QQ</t>
  </si>
  <si>
    <t xml:space="preserve">QJo</t>
  </si>
  <si>
    <t xml:space="preserve">QJs</t>
  </si>
  <si>
    <t xml:space="preserve">QTo</t>
  </si>
  <si>
    <t xml:space="preserve">QTs</t>
  </si>
  <si>
    <t xml:space="preserve">Q9o</t>
  </si>
  <si>
    <t xml:space="preserve">Q9s</t>
  </si>
  <si>
    <t xml:space="preserve">Q8o</t>
  </si>
  <si>
    <t xml:space="preserve">Q8s</t>
  </si>
  <si>
    <t xml:space="preserve">Q7o</t>
  </si>
  <si>
    <t xml:space="preserve">Q7s</t>
  </si>
  <si>
    <t xml:space="preserve">Q6o</t>
  </si>
  <si>
    <t xml:space="preserve">Q6s</t>
  </si>
  <si>
    <t xml:space="preserve">Q5o</t>
  </si>
  <si>
    <t xml:space="preserve">Q5s</t>
  </si>
  <si>
    <t xml:space="preserve">Q4o</t>
  </si>
  <si>
    <t xml:space="preserve">Q4s</t>
  </si>
  <si>
    <t xml:space="preserve">Q3o</t>
  </si>
  <si>
    <t xml:space="preserve">Q3s</t>
  </si>
  <si>
    <t xml:space="preserve">Q2o</t>
  </si>
  <si>
    <t xml:space="preserve">Q2s</t>
  </si>
  <si>
    <t xml:space="preserve">JJ</t>
  </si>
  <si>
    <t xml:space="preserve">JTo</t>
  </si>
  <si>
    <t xml:space="preserve">JTs</t>
  </si>
  <si>
    <t xml:space="preserve">J9o</t>
  </si>
  <si>
    <t xml:space="preserve">J9s</t>
  </si>
  <si>
    <t xml:space="preserve">J8o</t>
  </si>
  <si>
    <t xml:space="preserve">J8s</t>
  </si>
  <si>
    <t xml:space="preserve">J7o</t>
  </si>
  <si>
    <t xml:space="preserve">J7s</t>
  </si>
  <si>
    <t xml:space="preserve">J6o</t>
  </si>
  <si>
    <t xml:space="preserve">J6s</t>
  </si>
  <si>
    <t xml:space="preserve">J5o</t>
  </si>
  <si>
    <t xml:space="preserve">J5s</t>
  </si>
  <si>
    <t xml:space="preserve">J4o</t>
  </si>
  <si>
    <t xml:space="preserve">J4s</t>
  </si>
  <si>
    <t xml:space="preserve">J3o</t>
  </si>
  <si>
    <t xml:space="preserve">J3s</t>
  </si>
  <si>
    <t xml:space="preserve">J2o</t>
  </si>
  <si>
    <t xml:space="preserve">J2s</t>
  </si>
  <si>
    <t xml:space="preserve">TT</t>
  </si>
  <si>
    <t xml:space="preserve">T9o</t>
  </si>
  <si>
    <t xml:space="preserve">T9s</t>
  </si>
  <si>
    <t xml:space="preserve">T8o</t>
  </si>
  <si>
    <t xml:space="preserve">T8s</t>
  </si>
  <si>
    <t xml:space="preserve">T7o</t>
  </si>
  <si>
    <t xml:space="preserve">T7s</t>
  </si>
  <si>
    <t xml:space="preserve">T6o</t>
  </si>
  <si>
    <t xml:space="preserve">T6s</t>
  </si>
  <si>
    <t xml:space="preserve">T5o</t>
  </si>
  <si>
    <t xml:space="preserve">T5s</t>
  </si>
  <si>
    <t xml:space="preserve">T4o</t>
  </si>
  <si>
    <t xml:space="preserve">T4s</t>
  </si>
  <si>
    <t xml:space="preserve">T3o</t>
  </si>
  <si>
    <t xml:space="preserve">T3s</t>
  </si>
  <si>
    <t xml:space="preserve">T2o</t>
  </si>
  <si>
    <t xml:space="preserve">T2s</t>
  </si>
  <si>
    <t xml:space="preserve">99</t>
  </si>
  <si>
    <t xml:space="preserve">98o</t>
  </si>
  <si>
    <t xml:space="preserve">98s</t>
  </si>
  <si>
    <t xml:space="preserve">97o</t>
  </si>
  <si>
    <t xml:space="preserve">97s</t>
  </si>
  <si>
    <t xml:space="preserve">96o</t>
  </si>
  <si>
    <t xml:space="preserve">96s</t>
  </si>
  <si>
    <t xml:space="preserve">95o</t>
  </si>
  <si>
    <t xml:space="preserve">95s</t>
  </si>
  <si>
    <t xml:space="preserve">94o</t>
  </si>
  <si>
    <t xml:space="preserve">94s</t>
  </si>
  <si>
    <t xml:space="preserve">93o</t>
  </si>
  <si>
    <t xml:space="preserve">93s</t>
  </si>
  <si>
    <t xml:space="preserve">92o</t>
  </si>
  <si>
    <t xml:space="preserve">92s</t>
  </si>
  <si>
    <t xml:space="preserve">88</t>
  </si>
  <si>
    <t xml:space="preserve">87o</t>
  </si>
  <si>
    <t xml:space="preserve">87s</t>
  </si>
  <si>
    <t xml:space="preserve">86o</t>
  </si>
  <si>
    <t xml:space="preserve">86s</t>
  </si>
  <si>
    <t xml:space="preserve">85o</t>
  </si>
  <si>
    <t xml:space="preserve">85s</t>
  </si>
  <si>
    <t xml:space="preserve">84o</t>
  </si>
  <si>
    <t xml:space="preserve">84s</t>
  </si>
  <si>
    <t xml:space="preserve">83o</t>
  </si>
  <si>
    <t xml:space="preserve">83s</t>
  </si>
  <si>
    <t xml:space="preserve">82o</t>
  </si>
  <si>
    <t xml:space="preserve">82s</t>
  </si>
  <si>
    <t xml:space="preserve">77</t>
  </si>
  <si>
    <t xml:space="preserve">76o</t>
  </si>
  <si>
    <t xml:space="preserve">76s</t>
  </si>
  <si>
    <t xml:space="preserve">75o</t>
  </si>
  <si>
    <t xml:space="preserve">75s</t>
  </si>
  <si>
    <t xml:space="preserve">74o</t>
  </si>
  <si>
    <t xml:space="preserve">74s</t>
  </si>
  <si>
    <t xml:space="preserve">73o</t>
  </si>
  <si>
    <t xml:space="preserve">73s</t>
  </si>
  <si>
    <t xml:space="preserve">72o</t>
  </si>
  <si>
    <t xml:space="preserve">72s</t>
  </si>
  <si>
    <t xml:space="preserve">66</t>
  </si>
  <si>
    <t xml:space="preserve">65o</t>
  </si>
  <si>
    <t xml:space="preserve">65s</t>
  </si>
  <si>
    <t xml:space="preserve">64o</t>
  </si>
  <si>
    <t xml:space="preserve">64s</t>
  </si>
  <si>
    <t xml:space="preserve">63o</t>
  </si>
  <si>
    <t xml:space="preserve">63s</t>
  </si>
  <si>
    <t xml:space="preserve">62o</t>
  </si>
  <si>
    <t xml:space="preserve">62s</t>
  </si>
  <si>
    <t xml:space="preserve">55</t>
  </si>
  <si>
    <t xml:space="preserve">54o</t>
  </si>
  <si>
    <t xml:space="preserve">54s</t>
  </si>
  <si>
    <t xml:space="preserve">53o</t>
  </si>
  <si>
    <t xml:space="preserve">53s</t>
  </si>
  <si>
    <t xml:space="preserve">52o</t>
  </si>
  <si>
    <t xml:space="preserve">52s</t>
  </si>
  <si>
    <t xml:space="preserve">44</t>
  </si>
  <si>
    <t xml:space="preserve">43o</t>
  </si>
  <si>
    <t xml:space="preserve">43s</t>
  </si>
  <si>
    <t xml:space="preserve">42o</t>
  </si>
  <si>
    <t xml:space="preserve">42s</t>
  </si>
  <si>
    <t xml:space="preserve">33</t>
  </si>
  <si>
    <t xml:space="preserve">32o</t>
  </si>
  <si>
    <t xml:space="preserve">32s</t>
  </si>
  <si>
    <t xml:space="preserve">22</t>
  </si>
  <si>
    <t xml:space="preserve">Escalera o mejor</t>
  </si>
  <si>
    <t xml:space="preserve">Color o mejor</t>
  </si>
  <si>
    <t xml:space="preserve">Trío o mejor</t>
  </si>
  <si>
    <t xml:space="preserve">Escalera o mejor (probabilidad por el river)</t>
  </si>
  <si>
    <t xml:space="preserve">A</t>
  </si>
  <si>
    <t xml:space="preserve">K</t>
  </si>
  <si>
    <t xml:space="preserve">Q</t>
  </si>
  <si>
    <t xml:space="preserve">J</t>
  </si>
  <si>
    <t xml:space="preserve">T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</si>
  <si>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</si>
  <si>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</si>
  <si>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</si>
  <si>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</si>
  <si>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</si>
  <si>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4</t>
  </si>
  <si>
    <t xml:space="preserve">3</t>
  </si>
  <si>
    <t xml:space="preserve">2</t>
  </si>
  <si>
    <t xml:space="preserve">Color o mejor (color, full, póker o escalera de color)</t>
  </si>
  <si>
    <t xml:space="preserve">Tus cartas mejoran la categoría del tablero</t>
  </si>
  <si>
    <t xml:space="preserve">Categoría</t>
  </si>
  <si>
    <t xml:space="preserve">Promedio ponderado (esta hoja)</t>
  </si>
  <si>
    <t xml:space="preserve">Frecuencia clásica 7 cartas</t>
  </si>
  <si>
    <t xml:space="preserve">Manos de 7 cartas (conteo clásico)</t>
  </si>
  <si>
    <t xml:space="preserve">Diferencia</t>
  </si>
  <si>
    <t xml:space="preserve">Total de manos de 7 cartas</t>
  </si>
  <si>
    <t xml:space="preserve">Fuente de la columna D: conteo clásico de manos de 7 cartas (133.784.560 en total; la escalera de color incluye la escalera real). El programa además comprobó la igualdad exacta con enteros.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</si>
</sst>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0.0000%"/>
    <numFmt numFmtId="169" formatCode="0.0000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23.85" hidden="false" customHeight="false" outlineLevel="0" collapsed="false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 customFormat="false" ht="15" hidden="false" customHeight="false" outlineLevel="0" collapsed="false">
      <c r="A2" s="4" t="s">
        <v>25</v>
      </c>
      <c r="B2" s="4" t="s">
        <v>16</v>
      </c>
      <c r="C2" s="5" t="n">
        <v>6</v>
      </c>
      <c r="D2" s="5" t="n">
        <v>2118760</v>
      </c>
      <c r="E2" s="5" t="n">
        <v>0</v>
      </c>
      <c r="F2" s="5" t="n">
        <v>762300</v>
      </c>
      <c r="G2" s="5" t="n">
        <v>840456</v>
      </c>
      <c r="H2" s="5" t="n">
        <v>249458</v>
      </c>
      <c r="I2" s="5" t="n">
        <v>25816</v>
      </c>
      <c r="J2" s="5" t="n">
        <v>41562</v>
      </c>
      <c r="K2" s="5" t="n">
        <v>181104</v>
      </c>
      <c r="L2" s="5" t="n">
        <v>17848</v>
      </c>
      <c r="M2" s="5" t="n">
        <v>216</v>
      </c>
      <c r="N2" s="5" t="n">
        <v>2006938</v>
      </c>
    </row>
    <row r="3" customFormat="false" ht="15" hidden="false" customHeight="false" outlineLevel="0" collapsed="false">
      <c r="A3" s="4" t="s">
        <v>26</v>
      </c>
      <c r="B3" s="4" t="s">
        <v>27</v>
      </c>
      <c r="C3" s="5" t="n">
        <v>12</v>
      </c>
      <c r="D3" s="5" t="n">
        <v>2118760</v>
      </c>
      <c r="E3" s="5" t="n">
        <v>417780</v>
      </c>
      <c r="F3" s="5" t="n">
        <v>965568</v>
      </c>
      <c r="G3" s="5" t="n">
        <v>480080</v>
      </c>
      <c r="H3" s="5" t="n">
        <v>93808</v>
      </c>
      <c r="I3" s="5" t="n">
        <v>69954</v>
      </c>
      <c r="J3" s="5" t="n">
        <v>41562</v>
      </c>
      <c r="K3" s="5" t="n">
        <v>47124</v>
      </c>
      <c r="L3" s="5" t="n">
        <v>2668</v>
      </c>
      <c r="M3" s="5" t="n">
        <v>216</v>
      </c>
      <c r="N3" s="5" t="n">
        <v>1084878</v>
      </c>
    </row>
    <row r="4" customFormat="false" ht="15" hidden="false" customHeight="false" outlineLevel="0" collapsed="false">
      <c r="A4" s="4" t="s">
        <v>28</v>
      </c>
      <c r="B4" s="4" t="s">
        <v>29</v>
      </c>
      <c r="C4" s="5" t="n">
        <v>4</v>
      </c>
      <c r="D4" s="5" t="n">
        <v>2118760</v>
      </c>
      <c r="E4" s="5" t="n">
        <v>386130</v>
      </c>
      <c r="F4" s="5" t="n">
        <v>916776</v>
      </c>
      <c r="G4" s="5" t="n">
        <v>469092</v>
      </c>
      <c r="H4" s="5" t="n">
        <v>92004</v>
      </c>
      <c r="I4" s="5" t="n">
        <v>65508</v>
      </c>
      <c r="J4" s="5" t="n">
        <v>138296</v>
      </c>
      <c r="K4" s="5" t="n">
        <v>47124</v>
      </c>
      <c r="L4" s="5" t="n">
        <v>2668</v>
      </c>
      <c r="M4" s="5" t="n">
        <v>1162</v>
      </c>
      <c r="N4" s="5" t="n">
        <v>1157513</v>
      </c>
    </row>
    <row r="5" customFormat="false" ht="15" hidden="false" customHeight="false" outlineLevel="0" collapsed="false">
      <c r="A5" s="4" t="s">
        <v>30</v>
      </c>
      <c r="B5" s="4" t="s">
        <v>27</v>
      </c>
      <c r="C5" s="5" t="n">
        <v>12</v>
      </c>
      <c r="D5" s="5" t="n">
        <v>2118760</v>
      </c>
      <c r="E5" s="5" t="n">
        <v>412830</v>
      </c>
      <c r="F5" s="5" t="n">
        <v>962560</v>
      </c>
      <c r="G5" s="5" t="n">
        <v>480080</v>
      </c>
      <c r="H5" s="5" t="n">
        <v>93808</v>
      </c>
      <c r="I5" s="5" t="n">
        <v>77912</v>
      </c>
      <c r="J5" s="5" t="n">
        <v>41518</v>
      </c>
      <c r="K5" s="5" t="n">
        <v>47124</v>
      </c>
      <c r="L5" s="5" t="n">
        <v>2668</v>
      </c>
      <c r="M5" s="5" t="n">
        <v>260</v>
      </c>
      <c r="N5" s="5" t="n">
        <v>1091589</v>
      </c>
    </row>
    <row r="6" customFormat="false" ht="15" hidden="false" customHeight="false" outlineLevel="0" collapsed="false">
      <c r="A6" s="4" t="s">
        <v>31</v>
      </c>
      <c r="B6" s="4" t="s">
        <v>29</v>
      </c>
      <c r="C6" s="5" t="n">
        <v>4</v>
      </c>
      <c r="D6" s="5" t="n">
        <v>2118760</v>
      </c>
      <c r="E6" s="5" t="n">
        <v>381555</v>
      </c>
      <c r="F6" s="5" t="n">
        <v>913920</v>
      </c>
      <c r="G6" s="5" t="n">
        <v>469092</v>
      </c>
      <c r="H6" s="5" t="n">
        <v>92004</v>
      </c>
      <c r="I6" s="5" t="n">
        <v>72939</v>
      </c>
      <c r="J6" s="5" t="n">
        <v>138252</v>
      </c>
      <c r="K6" s="5" t="n">
        <v>47124</v>
      </c>
      <c r="L6" s="5" t="n">
        <v>2668</v>
      </c>
      <c r="M6" s="5" t="n">
        <v>1206</v>
      </c>
      <c r="N6" s="5" t="n">
        <v>1163687</v>
      </c>
    </row>
    <row r="7" customFormat="false" ht="15" hidden="false" customHeight="false" outlineLevel="0" collapsed="false">
      <c r="A7" s="4" t="s">
        <v>32</v>
      </c>
      <c r="B7" s="4" t="s">
        <v>27</v>
      </c>
      <c r="C7" s="5" t="n">
        <v>12</v>
      </c>
      <c r="D7" s="5" t="n">
        <v>2118760</v>
      </c>
      <c r="E7" s="5" t="n">
        <v>407880</v>
      </c>
      <c r="F7" s="5" t="n">
        <v>959552</v>
      </c>
      <c r="G7" s="5" t="n">
        <v>480080</v>
      </c>
      <c r="H7" s="5" t="n">
        <v>93808</v>
      </c>
      <c r="I7" s="5" t="n">
        <v>85870</v>
      </c>
      <c r="J7" s="5" t="n">
        <v>41474</v>
      </c>
      <c r="K7" s="5" t="n">
        <v>47124</v>
      </c>
      <c r="L7" s="5" t="n">
        <v>2668</v>
      </c>
      <c r="M7" s="5" t="n">
        <v>304</v>
      </c>
      <c r="N7" s="5" t="n">
        <v>1098300</v>
      </c>
    </row>
    <row r="8" customFormat="false" ht="15" hidden="false" customHeight="false" outlineLevel="0" collapsed="false">
      <c r="A8" s="4" t="s">
        <v>33</v>
      </c>
      <c r="B8" s="4" t="s">
        <v>29</v>
      </c>
      <c r="C8" s="5" t="n">
        <v>4</v>
      </c>
      <c r="D8" s="5" t="n">
        <v>2118760</v>
      </c>
      <c r="E8" s="5" t="n">
        <v>376980</v>
      </c>
      <c r="F8" s="5" t="n">
        <v>911064</v>
      </c>
      <c r="G8" s="5" t="n">
        <v>469092</v>
      </c>
      <c r="H8" s="5" t="n">
        <v>92004</v>
      </c>
      <c r="I8" s="5" t="n">
        <v>80370</v>
      </c>
      <c r="J8" s="5" t="n">
        <v>138208</v>
      </c>
      <c r="K8" s="5" t="n">
        <v>47124</v>
      </c>
      <c r="L8" s="5" t="n">
        <v>2668</v>
      </c>
      <c r="M8" s="5" t="n">
        <v>1250</v>
      </c>
      <c r="N8" s="5" t="n">
        <v>1169861</v>
      </c>
    </row>
    <row r="9" customFormat="false" ht="15" hidden="false" customHeight="false" outlineLevel="0" collapsed="false">
      <c r="A9" s="4" t="s">
        <v>34</v>
      </c>
      <c r="B9" s="4" t="s">
        <v>27</v>
      </c>
      <c r="C9" s="5" t="n">
        <v>12</v>
      </c>
      <c r="D9" s="5" t="n">
        <v>2118760</v>
      </c>
      <c r="E9" s="5" t="n">
        <v>402930</v>
      </c>
      <c r="F9" s="5" t="n">
        <v>956544</v>
      </c>
      <c r="G9" s="5" t="n">
        <v>480080</v>
      </c>
      <c r="H9" s="5" t="n">
        <v>93808</v>
      </c>
      <c r="I9" s="5" t="n">
        <v>93828</v>
      </c>
      <c r="J9" s="5" t="n">
        <v>41430</v>
      </c>
      <c r="K9" s="5" t="n">
        <v>47124</v>
      </c>
      <c r="L9" s="5" t="n">
        <v>2668</v>
      </c>
      <c r="M9" s="5" t="n">
        <v>348</v>
      </c>
      <c r="N9" s="5" t="n">
        <v>1105011</v>
      </c>
    </row>
    <row r="10" customFormat="false" ht="15" hidden="false" customHeight="false" outlineLevel="0" collapsed="false">
      <c r="A10" s="4" t="s">
        <v>35</v>
      </c>
      <c r="B10" s="4" t="s">
        <v>29</v>
      </c>
      <c r="C10" s="5" t="n">
        <v>4</v>
      </c>
      <c r="D10" s="5" t="n">
        <v>2118760</v>
      </c>
      <c r="E10" s="5" t="n">
        <v>372405</v>
      </c>
      <c r="F10" s="5" t="n">
        <v>908208</v>
      </c>
      <c r="G10" s="5" t="n">
        <v>469092</v>
      </c>
      <c r="H10" s="5" t="n">
        <v>92004</v>
      </c>
      <c r="I10" s="5" t="n">
        <v>87801</v>
      </c>
      <c r="J10" s="5" t="n">
        <v>138164</v>
      </c>
      <c r="K10" s="5" t="n">
        <v>47124</v>
      </c>
      <c r="L10" s="5" t="n">
        <v>2668</v>
      </c>
      <c r="M10" s="5" t="n">
        <v>1294</v>
      </c>
      <c r="N10" s="5" t="n">
        <v>1176035</v>
      </c>
    </row>
    <row r="11" customFormat="false" ht="15" hidden="false" customHeight="false" outlineLevel="0" collapsed="false">
      <c r="A11" s="4" t="s">
        <v>36</v>
      </c>
      <c r="B11" s="4" t="s">
        <v>27</v>
      </c>
      <c r="C11" s="5" t="n">
        <v>12</v>
      </c>
      <c r="D11" s="5" t="n">
        <v>2118760</v>
      </c>
      <c r="E11" s="5" t="n">
        <v>418770</v>
      </c>
      <c r="F11" s="5" t="n">
        <v>974592</v>
      </c>
      <c r="G11" s="5" t="n">
        <v>482790</v>
      </c>
      <c r="H11" s="5" t="n">
        <v>94380</v>
      </c>
      <c r="I11" s="5" t="n">
        <v>56658</v>
      </c>
      <c r="J11" s="5" t="n">
        <v>41431</v>
      </c>
      <c r="K11" s="5" t="n">
        <v>47124</v>
      </c>
      <c r="L11" s="5" t="n">
        <v>2668</v>
      </c>
      <c r="M11" s="5" t="n">
        <v>347</v>
      </c>
      <c r="N11" s="5" t="n">
        <v>1079536</v>
      </c>
    </row>
    <row r="12" customFormat="false" ht="15" hidden="false" customHeight="false" outlineLevel="0" collapsed="false">
      <c r="A12" s="4" t="s">
        <v>37</v>
      </c>
      <c r="B12" s="4" t="s">
        <v>29</v>
      </c>
      <c r="C12" s="5" t="n">
        <v>4</v>
      </c>
      <c r="D12" s="5" t="n">
        <v>2118760</v>
      </c>
      <c r="E12" s="5" t="n">
        <v>387045</v>
      </c>
      <c r="F12" s="5" t="n">
        <v>925344</v>
      </c>
      <c r="G12" s="5" t="n">
        <v>471735</v>
      </c>
      <c r="H12" s="5" t="n">
        <v>92565</v>
      </c>
      <c r="I12" s="5" t="n">
        <v>52821</v>
      </c>
      <c r="J12" s="5" t="n">
        <v>139155</v>
      </c>
      <c r="K12" s="5" t="n">
        <v>47124</v>
      </c>
      <c r="L12" s="5" t="n">
        <v>2668</v>
      </c>
      <c r="M12" s="5" t="n">
        <v>303</v>
      </c>
      <c r="N12" s="5" t="n">
        <v>1152395</v>
      </c>
    </row>
    <row r="13" customFormat="false" ht="15" hidden="false" customHeight="false" outlineLevel="0" collapsed="false">
      <c r="A13" s="4" t="s">
        <v>38</v>
      </c>
      <c r="B13" s="4" t="s">
        <v>27</v>
      </c>
      <c r="C13" s="5" t="n">
        <v>12</v>
      </c>
      <c r="D13" s="5" t="n">
        <v>2118760</v>
      </c>
      <c r="E13" s="5" t="n">
        <v>413820</v>
      </c>
      <c r="F13" s="5" t="n">
        <v>971584</v>
      </c>
      <c r="G13" s="5" t="n">
        <v>482790</v>
      </c>
      <c r="H13" s="5" t="n">
        <v>94380</v>
      </c>
      <c r="I13" s="5" t="n">
        <v>64616</v>
      </c>
      <c r="J13" s="5" t="n">
        <v>41431</v>
      </c>
      <c r="K13" s="5" t="n">
        <v>47124</v>
      </c>
      <c r="L13" s="5" t="n">
        <v>2668</v>
      </c>
      <c r="M13" s="5" t="n">
        <v>347</v>
      </c>
      <c r="N13" s="5" t="n">
        <v>1085998</v>
      </c>
    </row>
    <row r="14" customFormat="false" ht="15" hidden="false" customHeight="false" outlineLevel="0" collapsed="false">
      <c r="A14" s="4" t="s">
        <v>39</v>
      </c>
      <c r="B14" s="4" t="s">
        <v>29</v>
      </c>
      <c r="C14" s="5" t="n">
        <v>4</v>
      </c>
      <c r="D14" s="5" t="n">
        <v>2118760</v>
      </c>
      <c r="E14" s="5" t="n">
        <v>382470</v>
      </c>
      <c r="F14" s="5" t="n">
        <v>922488</v>
      </c>
      <c r="G14" s="5" t="n">
        <v>471735</v>
      </c>
      <c r="H14" s="5" t="n">
        <v>92565</v>
      </c>
      <c r="I14" s="5" t="n">
        <v>60252</v>
      </c>
      <c r="J14" s="5" t="n">
        <v>139111</v>
      </c>
      <c r="K14" s="5" t="n">
        <v>47124</v>
      </c>
      <c r="L14" s="5" t="n">
        <v>2668</v>
      </c>
      <c r="M14" s="5" t="n">
        <v>347</v>
      </c>
      <c r="N14" s="5" t="n">
        <v>1158379</v>
      </c>
    </row>
    <row r="15" customFormat="false" ht="15" hidden="false" customHeight="false" outlineLevel="0" collapsed="false">
      <c r="A15" s="4" t="s">
        <v>40</v>
      </c>
      <c r="B15" s="4" t="s">
        <v>27</v>
      </c>
      <c r="C15" s="5" t="n">
        <v>12</v>
      </c>
      <c r="D15" s="5" t="n">
        <v>2118760</v>
      </c>
      <c r="E15" s="5" t="n">
        <v>413820</v>
      </c>
      <c r="F15" s="5" t="n">
        <v>971584</v>
      </c>
      <c r="G15" s="5" t="n">
        <v>482790</v>
      </c>
      <c r="H15" s="5" t="n">
        <v>94380</v>
      </c>
      <c r="I15" s="5" t="n">
        <v>64616</v>
      </c>
      <c r="J15" s="5" t="n">
        <v>41431</v>
      </c>
      <c r="K15" s="5" t="n">
        <v>47124</v>
      </c>
      <c r="L15" s="5" t="n">
        <v>2668</v>
      </c>
      <c r="M15" s="5" t="n">
        <v>347</v>
      </c>
      <c r="N15" s="5" t="n">
        <v>1085998</v>
      </c>
    </row>
    <row r="16" customFormat="false" ht="15" hidden="false" customHeight="false" outlineLevel="0" collapsed="false">
      <c r="A16" s="4" t="s">
        <v>41</v>
      </c>
      <c r="B16" s="4" t="s">
        <v>29</v>
      </c>
      <c r="C16" s="5" t="n">
        <v>4</v>
      </c>
      <c r="D16" s="5" t="n">
        <v>2118760</v>
      </c>
      <c r="E16" s="5" t="n">
        <v>382470</v>
      </c>
      <c r="F16" s="5" t="n">
        <v>922488</v>
      </c>
      <c r="G16" s="5" t="n">
        <v>471735</v>
      </c>
      <c r="H16" s="5" t="n">
        <v>92565</v>
      </c>
      <c r="I16" s="5" t="n">
        <v>60252</v>
      </c>
      <c r="J16" s="5" t="n">
        <v>139111</v>
      </c>
      <c r="K16" s="5" t="n">
        <v>47124</v>
      </c>
      <c r="L16" s="5" t="n">
        <v>2668</v>
      </c>
      <c r="M16" s="5" t="n">
        <v>347</v>
      </c>
      <c r="N16" s="5" t="n">
        <v>1158379</v>
      </c>
    </row>
    <row r="17" customFormat="false" ht="15" hidden="false" customHeight="false" outlineLevel="0" collapsed="false">
      <c r="A17" s="4" t="s">
        <v>42</v>
      </c>
      <c r="B17" s="4" t="s">
        <v>27</v>
      </c>
      <c r="C17" s="5" t="n">
        <v>12</v>
      </c>
      <c r="D17" s="5" t="n">
        <v>2118760</v>
      </c>
      <c r="E17" s="5" t="n">
        <v>418770</v>
      </c>
      <c r="F17" s="5" t="n">
        <v>974592</v>
      </c>
      <c r="G17" s="5" t="n">
        <v>482790</v>
      </c>
      <c r="H17" s="5" t="n">
        <v>94380</v>
      </c>
      <c r="I17" s="5" t="n">
        <v>56658</v>
      </c>
      <c r="J17" s="5" t="n">
        <v>41431</v>
      </c>
      <c r="K17" s="5" t="n">
        <v>47124</v>
      </c>
      <c r="L17" s="5" t="n">
        <v>2668</v>
      </c>
      <c r="M17" s="5" t="n">
        <v>347</v>
      </c>
      <c r="N17" s="5" t="n">
        <v>1079536</v>
      </c>
    </row>
    <row r="18" customFormat="false" ht="15" hidden="false" customHeight="false" outlineLevel="0" collapsed="false">
      <c r="A18" s="4" t="s">
        <v>43</v>
      </c>
      <c r="B18" s="4" t="s">
        <v>29</v>
      </c>
      <c r="C18" s="5" t="n">
        <v>4</v>
      </c>
      <c r="D18" s="5" t="n">
        <v>2118760</v>
      </c>
      <c r="E18" s="5" t="n">
        <v>387045</v>
      </c>
      <c r="F18" s="5" t="n">
        <v>925344</v>
      </c>
      <c r="G18" s="5" t="n">
        <v>471735</v>
      </c>
      <c r="H18" s="5" t="n">
        <v>92565</v>
      </c>
      <c r="I18" s="5" t="n">
        <v>52821</v>
      </c>
      <c r="J18" s="5" t="n">
        <v>139155</v>
      </c>
      <c r="K18" s="5" t="n">
        <v>47124</v>
      </c>
      <c r="L18" s="5" t="n">
        <v>2668</v>
      </c>
      <c r="M18" s="5" t="n">
        <v>303</v>
      </c>
      <c r="N18" s="5" t="n">
        <v>1152395</v>
      </c>
    </row>
    <row r="19" customFormat="false" ht="15" hidden="false" customHeight="false" outlineLevel="0" collapsed="false">
      <c r="A19" s="4" t="s">
        <v>44</v>
      </c>
      <c r="B19" s="4" t="s">
        <v>27</v>
      </c>
      <c r="C19" s="5" t="n">
        <v>12</v>
      </c>
      <c r="D19" s="5" t="n">
        <v>2118760</v>
      </c>
      <c r="E19" s="5" t="n">
        <v>402930</v>
      </c>
      <c r="F19" s="5" t="n">
        <v>956544</v>
      </c>
      <c r="G19" s="5" t="n">
        <v>480080</v>
      </c>
      <c r="H19" s="5" t="n">
        <v>93808</v>
      </c>
      <c r="I19" s="5" t="n">
        <v>93828</v>
      </c>
      <c r="J19" s="5" t="n">
        <v>41430</v>
      </c>
      <c r="K19" s="5" t="n">
        <v>47124</v>
      </c>
      <c r="L19" s="5" t="n">
        <v>2668</v>
      </c>
      <c r="M19" s="5" t="n">
        <v>348</v>
      </c>
      <c r="N19" s="5" t="n">
        <v>1105011</v>
      </c>
    </row>
    <row r="20" customFormat="false" ht="15" hidden="false" customHeight="false" outlineLevel="0" collapsed="false">
      <c r="A20" s="4" t="s">
        <v>45</v>
      </c>
      <c r="B20" s="4" t="s">
        <v>29</v>
      </c>
      <c r="C20" s="5" t="n">
        <v>4</v>
      </c>
      <c r="D20" s="5" t="n">
        <v>2118760</v>
      </c>
      <c r="E20" s="5" t="n">
        <v>372405</v>
      </c>
      <c r="F20" s="5" t="n">
        <v>908208</v>
      </c>
      <c r="G20" s="5" t="n">
        <v>469092</v>
      </c>
      <c r="H20" s="5" t="n">
        <v>92004</v>
      </c>
      <c r="I20" s="5" t="n">
        <v>87801</v>
      </c>
      <c r="J20" s="5" t="n">
        <v>138164</v>
      </c>
      <c r="K20" s="5" t="n">
        <v>47124</v>
      </c>
      <c r="L20" s="5" t="n">
        <v>2668</v>
      </c>
      <c r="M20" s="5" t="n">
        <v>1294</v>
      </c>
      <c r="N20" s="5" t="n">
        <v>1176035</v>
      </c>
    </row>
    <row r="21" customFormat="false" ht="15" hidden="false" customHeight="false" outlineLevel="0" collapsed="false">
      <c r="A21" s="4" t="s">
        <v>46</v>
      </c>
      <c r="B21" s="4" t="s">
        <v>27</v>
      </c>
      <c r="C21" s="5" t="n">
        <v>12</v>
      </c>
      <c r="D21" s="5" t="n">
        <v>2118760</v>
      </c>
      <c r="E21" s="5" t="n">
        <v>407880</v>
      </c>
      <c r="F21" s="5" t="n">
        <v>959552</v>
      </c>
      <c r="G21" s="5" t="n">
        <v>480080</v>
      </c>
      <c r="H21" s="5" t="n">
        <v>93808</v>
      </c>
      <c r="I21" s="5" t="n">
        <v>85870</v>
      </c>
      <c r="J21" s="5" t="n">
        <v>41474</v>
      </c>
      <c r="K21" s="5" t="n">
        <v>47124</v>
      </c>
      <c r="L21" s="5" t="n">
        <v>2668</v>
      </c>
      <c r="M21" s="5" t="n">
        <v>304</v>
      </c>
      <c r="N21" s="5" t="n">
        <v>1098300</v>
      </c>
    </row>
    <row r="22" customFormat="false" ht="15" hidden="false" customHeight="false" outlineLevel="0" collapsed="false">
      <c r="A22" s="4" t="s">
        <v>47</v>
      </c>
      <c r="B22" s="4" t="s">
        <v>29</v>
      </c>
      <c r="C22" s="5" t="n">
        <v>4</v>
      </c>
      <c r="D22" s="5" t="n">
        <v>2118760</v>
      </c>
      <c r="E22" s="5" t="n">
        <v>376980</v>
      </c>
      <c r="F22" s="5" t="n">
        <v>911064</v>
      </c>
      <c r="G22" s="5" t="n">
        <v>469092</v>
      </c>
      <c r="H22" s="5" t="n">
        <v>92004</v>
      </c>
      <c r="I22" s="5" t="n">
        <v>80370</v>
      </c>
      <c r="J22" s="5" t="n">
        <v>138208</v>
      </c>
      <c r="K22" s="5" t="n">
        <v>47124</v>
      </c>
      <c r="L22" s="5" t="n">
        <v>2668</v>
      </c>
      <c r="M22" s="5" t="n">
        <v>1250</v>
      </c>
      <c r="N22" s="5" t="n">
        <v>1169861</v>
      </c>
    </row>
    <row r="23" customFormat="false" ht="15" hidden="false" customHeight="false" outlineLevel="0" collapsed="false">
      <c r="A23" s="4" t="s">
        <v>48</v>
      </c>
      <c r="B23" s="4" t="s">
        <v>27</v>
      </c>
      <c r="C23" s="5" t="n">
        <v>12</v>
      </c>
      <c r="D23" s="5" t="n">
        <v>2118760</v>
      </c>
      <c r="E23" s="5" t="n">
        <v>412830</v>
      </c>
      <c r="F23" s="5" t="n">
        <v>962560</v>
      </c>
      <c r="G23" s="5" t="n">
        <v>480080</v>
      </c>
      <c r="H23" s="5" t="n">
        <v>93808</v>
      </c>
      <c r="I23" s="5" t="n">
        <v>77912</v>
      </c>
      <c r="J23" s="5" t="n">
        <v>41518</v>
      </c>
      <c r="K23" s="5" t="n">
        <v>47124</v>
      </c>
      <c r="L23" s="5" t="n">
        <v>2668</v>
      </c>
      <c r="M23" s="5" t="n">
        <v>260</v>
      </c>
      <c r="N23" s="5" t="n">
        <v>1091589</v>
      </c>
    </row>
    <row r="24" customFormat="false" ht="15" hidden="false" customHeight="false" outlineLevel="0" collapsed="false">
      <c r="A24" s="4" t="s">
        <v>49</v>
      </c>
      <c r="B24" s="4" t="s">
        <v>29</v>
      </c>
      <c r="C24" s="5" t="n">
        <v>4</v>
      </c>
      <c r="D24" s="5" t="n">
        <v>2118760</v>
      </c>
      <c r="E24" s="5" t="n">
        <v>381555</v>
      </c>
      <c r="F24" s="5" t="n">
        <v>913920</v>
      </c>
      <c r="G24" s="5" t="n">
        <v>469092</v>
      </c>
      <c r="H24" s="5" t="n">
        <v>92004</v>
      </c>
      <c r="I24" s="5" t="n">
        <v>72939</v>
      </c>
      <c r="J24" s="5" t="n">
        <v>138252</v>
      </c>
      <c r="K24" s="5" t="n">
        <v>47124</v>
      </c>
      <c r="L24" s="5" t="n">
        <v>2668</v>
      </c>
      <c r="M24" s="5" t="n">
        <v>1206</v>
      </c>
      <c r="N24" s="5" t="n">
        <v>1163687</v>
      </c>
    </row>
    <row r="25" customFormat="false" ht="15" hidden="false" customHeight="false" outlineLevel="0" collapsed="false">
      <c r="A25" s="4" t="s">
        <v>50</v>
      </c>
      <c r="B25" s="4" t="s">
        <v>27</v>
      </c>
      <c r="C25" s="5" t="n">
        <v>12</v>
      </c>
      <c r="D25" s="5" t="n">
        <v>2118760</v>
      </c>
      <c r="E25" s="5" t="n">
        <v>417780</v>
      </c>
      <c r="F25" s="5" t="n">
        <v>965568</v>
      </c>
      <c r="G25" s="5" t="n">
        <v>480080</v>
      </c>
      <c r="H25" s="5" t="n">
        <v>93808</v>
      </c>
      <c r="I25" s="5" t="n">
        <v>69954</v>
      </c>
      <c r="J25" s="5" t="n">
        <v>41562</v>
      </c>
      <c r="K25" s="5" t="n">
        <v>47124</v>
      </c>
      <c r="L25" s="5" t="n">
        <v>2668</v>
      </c>
      <c r="M25" s="5" t="n">
        <v>216</v>
      </c>
      <c r="N25" s="5" t="n">
        <v>1084878</v>
      </c>
    </row>
    <row r="26" customFormat="false" ht="15" hidden="false" customHeight="false" outlineLevel="0" collapsed="false">
      <c r="A26" s="4" t="s">
        <v>51</v>
      </c>
      <c r="B26" s="4" t="s">
        <v>29</v>
      </c>
      <c r="C26" s="5" t="n">
        <v>4</v>
      </c>
      <c r="D26" s="5" t="n">
        <v>2118760</v>
      </c>
      <c r="E26" s="5" t="n">
        <v>386130</v>
      </c>
      <c r="F26" s="5" t="n">
        <v>916776</v>
      </c>
      <c r="G26" s="5" t="n">
        <v>469092</v>
      </c>
      <c r="H26" s="5" t="n">
        <v>92004</v>
      </c>
      <c r="I26" s="5" t="n">
        <v>65508</v>
      </c>
      <c r="J26" s="5" t="n">
        <v>138296</v>
      </c>
      <c r="K26" s="5" t="n">
        <v>47124</v>
      </c>
      <c r="L26" s="5" t="n">
        <v>2668</v>
      </c>
      <c r="M26" s="5" t="n">
        <v>1162</v>
      </c>
      <c r="N26" s="5" t="n">
        <v>1157513</v>
      </c>
    </row>
    <row r="27" customFormat="false" ht="15" hidden="false" customHeight="false" outlineLevel="0" collapsed="false">
      <c r="A27" s="4" t="s">
        <v>52</v>
      </c>
      <c r="B27" s="4" t="s">
        <v>16</v>
      </c>
      <c r="C27" s="5" t="n">
        <v>6</v>
      </c>
      <c r="D27" s="5" t="n">
        <v>2118760</v>
      </c>
      <c r="E27" s="5" t="n">
        <v>0</v>
      </c>
      <c r="F27" s="5" t="n">
        <v>762300</v>
      </c>
      <c r="G27" s="5" t="n">
        <v>840456</v>
      </c>
      <c r="H27" s="5" t="n">
        <v>249458</v>
      </c>
      <c r="I27" s="5" t="n">
        <v>25816</v>
      </c>
      <c r="J27" s="5" t="n">
        <v>41562</v>
      </c>
      <c r="K27" s="5" t="n">
        <v>181104</v>
      </c>
      <c r="L27" s="5" t="n">
        <v>17848</v>
      </c>
      <c r="M27" s="5" t="n">
        <v>216</v>
      </c>
      <c r="N27" s="5" t="n">
        <v>2006938</v>
      </c>
    </row>
    <row r="28" customFormat="false" ht="15" hidden="false" customHeight="false" outlineLevel="0" collapsed="false">
      <c r="A28" s="4" t="s">
        <v>53</v>
      </c>
      <c r="B28" s="4" t="s">
        <v>27</v>
      </c>
      <c r="C28" s="5" t="n">
        <v>12</v>
      </c>
      <c r="D28" s="5" t="n">
        <v>2118760</v>
      </c>
      <c r="E28" s="5" t="n">
        <v>402930</v>
      </c>
      <c r="F28" s="5" t="n">
        <v>947520</v>
      </c>
      <c r="G28" s="5" t="n">
        <v>477370</v>
      </c>
      <c r="H28" s="5" t="n">
        <v>93236</v>
      </c>
      <c r="I28" s="5" t="n">
        <v>106134</v>
      </c>
      <c r="J28" s="5" t="n">
        <v>41518</v>
      </c>
      <c r="K28" s="5" t="n">
        <v>47124</v>
      </c>
      <c r="L28" s="5" t="n">
        <v>2668</v>
      </c>
      <c r="M28" s="5" t="n">
        <v>260</v>
      </c>
      <c r="N28" s="5" t="n">
        <v>1109611</v>
      </c>
    </row>
    <row r="29" customFormat="false" ht="15" hidden="false" customHeight="false" outlineLevel="0" collapsed="false">
      <c r="A29" s="4" t="s">
        <v>54</v>
      </c>
      <c r="B29" s="4" t="s">
        <v>29</v>
      </c>
      <c r="C29" s="5" t="n">
        <v>4</v>
      </c>
      <c r="D29" s="5" t="n">
        <v>2118760</v>
      </c>
      <c r="E29" s="5" t="n">
        <v>372405</v>
      </c>
      <c r="F29" s="5" t="n">
        <v>899640</v>
      </c>
      <c r="G29" s="5" t="n">
        <v>466449</v>
      </c>
      <c r="H29" s="5" t="n">
        <v>91443</v>
      </c>
      <c r="I29" s="5" t="n">
        <v>99573</v>
      </c>
      <c r="J29" s="5" t="n">
        <v>137306</v>
      </c>
      <c r="K29" s="5" t="n">
        <v>47124</v>
      </c>
      <c r="L29" s="5" t="n">
        <v>2668</v>
      </c>
      <c r="M29" s="5" t="n">
        <v>2152</v>
      </c>
      <c r="N29" s="5" t="n">
        <v>1180427</v>
      </c>
    </row>
    <row r="30" customFormat="false" ht="15" hidden="false" customHeight="false" outlineLevel="0" collapsed="false">
      <c r="A30" s="4" t="s">
        <v>55</v>
      </c>
      <c r="B30" s="4" t="s">
        <v>27</v>
      </c>
      <c r="C30" s="5" t="n">
        <v>12</v>
      </c>
      <c r="D30" s="5" t="n">
        <v>2118760</v>
      </c>
      <c r="E30" s="5" t="n">
        <v>397980</v>
      </c>
      <c r="F30" s="5" t="n">
        <v>944512</v>
      </c>
      <c r="G30" s="5" t="n">
        <v>477370</v>
      </c>
      <c r="H30" s="5" t="n">
        <v>93236</v>
      </c>
      <c r="I30" s="5" t="n">
        <v>114092</v>
      </c>
      <c r="J30" s="5" t="n">
        <v>41474</v>
      </c>
      <c r="K30" s="5" t="n">
        <v>47124</v>
      </c>
      <c r="L30" s="5" t="n">
        <v>2668</v>
      </c>
      <c r="M30" s="5" t="n">
        <v>304</v>
      </c>
      <c r="N30" s="5" t="n">
        <v>1116322</v>
      </c>
    </row>
    <row r="31" customFormat="false" ht="15" hidden="false" customHeight="false" outlineLevel="0" collapsed="false">
      <c r="A31" s="4" t="s">
        <v>56</v>
      </c>
      <c r="B31" s="4" t="s">
        <v>29</v>
      </c>
      <c r="C31" s="5" t="n">
        <v>4</v>
      </c>
      <c r="D31" s="5" t="n">
        <v>2118760</v>
      </c>
      <c r="E31" s="5" t="n">
        <v>367830</v>
      </c>
      <c r="F31" s="5" t="n">
        <v>896784</v>
      </c>
      <c r="G31" s="5" t="n">
        <v>466449</v>
      </c>
      <c r="H31" s="5" t="n">
        <v>91443</v>
      </c>
      <c r="I31" s="5" t="n">
        <v>107004</v>
      </c>
      <c r="J31" s="5" t="n">
        <v>137262</v>
      </c>
      <c r="K31" s="5" t="n">
        <v>47124</v>
      </c>
      <c r="L31" s="5" t="n">
        <v>2668</v>
      </c>
      <c r="M31" s="5" t="n">
        <v>2196</v>
      </c>
      <c r="N31" s="5" t="n">
        <v>1186601</v>
      </c>
    </row>
    <row r="32" customFormat="false" ht="15" hidden="false" customHeight="false" outlineLevel="0" collapsed="false">
      <c r="A32" s="4" t="s">
        <v>57</v>
      </c>
      <c r="B32" s="4" t="s">
        <v>27</v>
      </c>
      <c r="C32" s="5" t="n">
        <v>12</v>
      </c>
      <c r="D32" s="5" t="n">
        <v>2118760</v>
      </c>
      <c r="E32" s="5" t="n">
        <v>393030</v>
      </c>
      <c r="F32" s="5" t="n">
        <v>941504</v>
      </c>
      <c r="G32" s="5" t="n">
        <v>477370</v>
      </c>
      <c r="H32" s="5" t="n">
        <v>93236</v>
      </c>
      <c r="I32" s="5" t="n">
        <v>122050</v>
      </c>
      <c r="J32" s="5" t="n">
        <v>41430</v>
      </c>
      <c r="K32" s="5" t="n">
        <v>47124</v>
      </c>
      <c r="L32" s="5" t="n">
        <v>2668</v>
      </c>
      <c r="M32" s="5" t="n">
        <v>348</v>
      </c>
      <c r="N32" s="5" t="n">
        <v>1123033</v>
      </c>
    </row>
    <row r="33" customFormat="false" ht="15" hidden="false" customHeight="false" outlineLevel="0" collapsed="false">
      <c r="A33" s="4" t="s">
        <v>58</v>
      </c>
      <c r="B33" s="4" t="s">
        <v>29</v>
      </c>
      <c r="C33" s="5" t="n">
        <v>4</v>
      </c>
      <c r="D33" s="5" t="n">
        <v>2118760</v>
      </c>
      <c r="E33" s="5" t="n">
        <v>363255</v>
      </c>
      <c r="F33" s="5" t="n">
        <v>893928</v>
      </c>
      <c r="G33" s="5" t="n">
        <v>466449</v>
      </c>
      <c r="H33" s="5" t="n">
        <v>91443</v>
      </c>
      <c r="I33" s="5" t="n">
        <v>114435</v>
      </c>
      <c r="J33" s="5" t="n">
        <v>137218</v>
      </c>
      <c r="K33" s="5" t="n">
        <v>47124</v>
      </c>
      <c r="L33" s="5" t="n">
        <v>2668</v>
      </c>
      <c r="M33" s="5" t="n">
        <v>2240</v>
      </c>
      <c r="N33" s="5" t="n">
        <v>1192775</v>
      </c>
    </row>
    <row r="34" customFormat="false" ht="15" hidden="false" customHeight="false" outlineLevel="0" collapsed="false">
      <c r="A34" s="4" t="s">
        <v>59</v>
      </c>
      <c r="B34" s="4" t="s">
        <v>27</v>
      </c>
      <c r="C34" s="5" t="n">
        <v>12</v>
      </c>
      <c r="D34" s="5" t="n">
        <v>2118760</v>
      </c>
      <c r="E34" s="5" t="n">
        <v>408870</v>
      </c>
      <c r="F34" s="5" t="n">
        <v>959552</v>
      </c>
      <c r="G34" s="5" t="n">
        <v>480080</v>
      </c>
      <c r="H34" s="5" t="n">
        <v>93808</v>
      </c>
      <c r="I34" s="5" t="n">
        <v>84880</v>
      </c>
      <c r="J34" s="5" t="n">
        <v>41431</v>
      </c>
      <c r="K34" s="5" t="n">
        <v>47124</v>
      </c>
      <c r="L34" s="5" t="n">
        <v>2668</v>
      </c>
      <c r="M34" s="5" t="n">
        <v>347</v>
      </c>
      <c r="N34" s="5" t="n">
        <v>1097558</v>
      </c>
    </row>
    <row r="35" customFormat="false" ht="15" hidden="false" customHeight="false" outlineLevel="0" collapsed="false">
      <c r="A35" s="4" t="s">
        <v>60</v>
      </c>
      <c r="B35" s="4" t="s">
        <v>29</v>
      </c>
      <c r="C35" s="5" t="n">
        <v>4</v>
      </c>
      <c r="D35" s="5" t="n">
        <v>2118760</v>
      </c>
      <c r="E35" s="5" t="n">
        <v>377895</v>
      </c>
      <c r="F35" s="5" t="n">
        <v>911064</v>
      </c>
      <c r="G35" s="5" t="n">
        <v>469092</v>
      </c>
      <c r="H35" s="5" t="n">
        <v>92004</v>
      </c>
      <c r="I35" s="5" t="n">
        <v>79455</v>
      </c>
      <c r="J35" s="5" t="n">
        <v>138209</v>
      </c>
      <c r="K35" s="5" t="n">
        <v>47124</v>
      </c>
      <c r="L35" s="5" t="n">
        <v>2668</v>
      </c>
      <c r="M35" s="5" t="n">
        <v>1249</v>
      </c>
      <c r="N35" s="5" t="n">
        <v>1169135</v>
      </c>
    </row>
    <row r="36" customFormat="false" ht="15" hidden="false" customHeight="false" outlineLevel="0" collapsed="false">
      <c r="A36" s="4" t="s">
        <v>61</v>
      </c>
      <c r="B36" s="4" t="s">
        <v>27</v>
      </c>
      <c r="C36" s="5" t="n">
        <v>12</v>
      </c>
      <c r="D36" s="5" t="n">
        <v>2118760</v>
      </c>
      <c r="E36" s="5" t="n">
        <v>418770</v>
      </c>
      <c r="F36" s="5" t="n">
        <v>974592</v>
      </c>
      <c r="G36" s="5" t="n">
        <v>482790</v>
      </c>
      <c r="H36" s="5" t="n">
        <v>94380</v>
      </c>
      <c r="I36" s="5" t="n">
        <v>56658</v>
      </c>
      <c r="J36" s="5" t="n">
        <v>41431</v>
      </c>
      <c r="K36" s="5" t="n">
        <v>47124</v>
      </c>
      <c r="L36" s="5" t="n">
        <v>2668</v>
      </c>
      <c r="M36" s="5" t="n">
        <v>347</v>
      </c>
      <c r="N36" s="5" t="n">
        <v>1079536</v>
      </c>
    </row>
    <row r="37" customFormat="false" ht="15" hidden="false" customHeight="false" outlineLevel="0" collapsed="false">
      <c r="A37" s="4" t="s">
        <v>62</v>
      </c>
      <c r="B37" s="4" t="s">
        <v>29</v>
      </c>
      <c r="C37" s="5" t="n">
        <v>4</v>
      </c>
      <c r="D37" s="5" t="n">
        <v>2118760</v>
      </c>
      <c r="E37" s="5" t="n">
        <v>387045</v>
      </c>
      <c r="F37" s="5" t="n">
        <v>925344</v>
      </c>
      <c r="G37" s="5" t="n">
        <v>471735</v>
      </c>
      <c r="H37" s="5" t="n">
        <v>92565</v>
      </c>
      <c r="I37" s="5" t="n">
        <v>52821</v>
      </c>
      <c r="J37" s="5" t="n">
        <v>139155</v>
      </c>
      <c r="K37" s="5" t="n">
        <v>47124</v>
      </c>
      <c r="L37" s="5" t="n">
        <v>2668</v>
      </c>
      <c r="M37" s="5" t="n">
        <v>303</v>
      </c>
      <c r="N37" s="5" t="n">
        <v>1152395</v>
      </c>
    </row>
    <row r="38" customFormat="false" ht="15" hidden="false" customHeight="false" outlineLevel="0" collapsed="false">
      <c r="A38" s="4" t="s">
        <v>63</v>
      </c>
      <c r="B38" s="4" t="s">
        <v>27</v>
      </c>
      <c r="C38" s="5" t="n">
        <v>12</v>
      </c>
      <c r="D38" s="5" t="n">
        <v>2118760</v>
      </c>
      <c r="E38" s="5" t="n">
        <v>413820</v>
      </c>
      <c r="F38" s="5" t="n">
        <v>971584</v>
      </c>
      <c r="G38" s="5" t="n">
        <v>482790</v>
      </c>
      <c r="H38" s="5" t="n">
        <v>94380</v>
      </c>
      <c r="I38" s="5" t="n">
        <v>64616</v>
      </c>
      <c r="J38" s="5" t="n">
        <v>41431</v>
      </c>
      <c r="K38" s="5" t="n">
        <v>47124</v>
      </c>
      <c r="L38" s="5" t="n">
        <v>2668</v>
      </c>
      <c r="M38" s="5" t="n">
        <v>347</v>
      </c>
      <c r="N38" s="5" t="n">
        <v>1085998</v>
      </c>
    </row>
    <row r="39" customFormat="false" ht="15" hidden="false" customHeight="false" outlineLevel="0" collapsed="false">
      <c r="A39" s="4" t="s">
        <v>64</v>
      </c>
      <c r="B39" s="4" t="s">
        <v>29</v>
      </c>
      <c r="C39" s="5" t="n">
        <v>4</v>
      </c>
      <c r="D39" s="5" t="n">
        <v>2118760</v>
      </c>
      <c r="E39" s="5" t="n">
        <v>382470</v>
      </c>
      <c r="F39" s="5" t="n">
        <v>922488</v>
      </c>
      <c r="G39" s="5" t="n">
        <v>471735</v>
      </c>
      <c r="H39" s="5" t="n">
        <v>92565</v>
      </c>
      <c r="I39" s="5" t="n">
        <v>60252</v>
      </c>
      <c r="J39" s="5" t="n">
        <v>139111</v>
      </c>
      <c r="K39" s="5" t="n">
        <v>47124</v>
      </c>
      <c r="L39" s="5" t="n">
        <v>2668</v>
      </c>
      <c r="M39" s="5" t="n">
        <v>347</v>
      </c>
      <c r="N39" s="5" t="n">
        <v>1158379</v>
      </c>
    </row>
    <row r="40" customFormat="false" ht="15" hidden="false" customHeight="false" outlineLevel="0" collapsed="false">
      <c r="A40" s="4" t="s">
        <v>65</v>
      </c>
      <c r="B40" s="4" t="s">
        <v>27</v>
      </c>
      <c r="C40" s="5" t="n">
        <v>12</v>
      </c>
      <c r="D40" s="5" t="n">
        <v>2118760</v>
      </c>
      <c r="E40" s="5" t="n">
        <v>413820</v>
      </c>
      <c r="F40" s="5" t="n">
        <v>971584</v>
      </c>
      <c r="G40" s="5" t="n">
        <v>482790</v>
      </c>
      <c r="H40" s="5" t="n">
        <v>94380</v>
      </c>
      <c r="I40" s="5" t="n">
        <v>64616</v>
      </c>
      <c r="J40" s="5" t="n">
        <v>41431</v>
      </c>
      <c r="K40" s="5" t="n">
        <v>47124</v>
      </c>
      <c r="L40" s="5" t="n">
        <v>2668</v>
      </c>
      <c r="M40" s="5" t="n">
        <v>347</v>
      </c>
      <c r="N40" s="5" t="n">
        <v>1085998</v>
      </c>
    </row>
    <row r="41" customFormat="false" ht="15" hidden="false" customHeight="false" outlineLevel="0" collapsed="false">
      <c r="A41" s="4" t="s">
        <v>66</v>
      </c>
      <c r="B41" s="4" t="s">
        <v>29</v>
      </c>
      <c r="C41" s="5" t="n">
        <v>4</v>
      </c>
      <c r="D41" s="5" t="n">
        <v>2118760</v>
      </c>
      <c r="E41" s="5" t="n">
        <v>382470</v>
      </c>
      <c r="F41" s="5" t="n">
        <v>922488</v>
      </c>
      <c r="G41" s="5" t="n">
        <v>471735</v>
      </c>
      <c r="H41" s="5" t="n">
        <v>92565</v>
      </c>
      <c r="I41" s="5" t="n">
        <v>60252</v>
      </c>
      <c r="J41" s="5" t="n">
        <v>139111</v>
      </c>
      <c r="K41" s="5" t="n">
        <v>47124</v>
      </c>
      <c r="L41" s="5" t="n">
        <v>2668</v>
      </c>
      <c r="M41" s="5" t="n">
        <v>347</v>
      </c>
      <c r="N41" s="5" t="n">
        <v>1158379</v>
      </c>
    </row>
    <row r="42" customFormat="false" ht="15" hidden="false" customHeight="false" outlineLevel="0" collapsed="false">
      <c r="A42" s="4" t="s">
        <v>67</v>
      </c>
      <c r="B42" s="4" t="s">
        <v>27</v>
      </c>
      <c r="C42" s="5" t="n">
        <v>12</v>
      </c>
      <c r="D42" s="5" t="n">
        <v>2118760</v>
      </c>
      <c r="E42" s="5" t="n">
        <v>412830</v>
      </c>
      <c r="F42" s="5" t="n">
        <v>971584</v>
      </c>
      <c r="G42" s="5" t="n">
        <v>482790</v>
      </c>
      <c r="H42" s="5" t="n">
        <v>94380</v>
      </c>
      <c r="I42" s="5" t="n">
        <v>65606</v>
      </c>
      <c r="J42" s="5" t="n">
        <v>41430</v>
      </c>
      <c r="K42" s="5" t="n">
        <v>47124</v>
      </c>
      <c r="L42" s="5" t="n">
        <v>2668</v>
      </c>
      <c r="M42" s="5" t="n">
        <v>348</v>
      </c>
      <c r="N42" s="5" t="n">
        <v>1086989</v>
      </c>
    </row>
    <row r="43" customFormat="false" ht="15" hidden="false" customHeight="false" outlineLevel="0" collapsed="false">
      <c r="A43" s="4" t="s">
        <v>68</v>
      </c>
      <c r="B43" s="4" t="s">
        <v>29</v>
      </c>
      <c r="C43" s="5" t="n">
        <v>4</v>
      </c>
      <c r="D43" s="5" t="n">
        <v>2118760</v>
      </c>
      <c r="E43" s="5" t="n">
        <v>381555</v>
      </c>
      <c r="F43" s="5" t="n">
        <v>922488</v>
      </c>
      <c r="G43" s="5" t="n">
        <v>471735</v>
      </c>
      <c r="H43" s="5" t="n">
        <v>92565</v>
      </c>
      <c r="I43" s="5" t="n">
        <v>61167</v>
      </c>
      <c r="J43" s="5" t="n">
        <v>139110</v>
      </c>
      <c r="K43" s="5" t="n">
        <v>47124</v>
      </c>
      <c r="L43" s="5" t="n">
        <v>2668</v>
      </c>
      <c r="M43" s="5" t="n">
        <v>348</v>
      </c>
      <c r="N43" s="5" t="n">
        <v>1159295</v>
      </c>
    </row>
    <row r="44" customFormat="false" ht="15" hidden="false" customHeight="false" outlineLevel="0" collapsed="false">
      <c r="A44" s="4" t="s">
        <v>69</v>
      </c>
      <c r="B44" s="4" t="s">
        <v>27</v>
      </c>
      <c r="C44" s="5" t="n">
        <v>12</v>
      </c>
      <c r="D44" s="5" t="n">
        <v>2118760</v>
      </c>
      <c r="E44" s="5" t="n">
        <v>417780</v>
      </c>
      <c r="F44" s="5" t="n">
        <v>974592</v>
      </c>
      <c r="G44" s="5" t="n">
        <v>482790</v>
      </c>
      <c r="H44" s="5" t="n">
        <v>94380</v>
      </c>
      <c r="I44" s="5" t="n">
        <v>57648</v>
      </c>
      <c r="J44" s="5" t="n">
        <v>41474</v>
      </c>
      <c r="K44" s="5" t="n">
        <v>47124</v>
      </c>
      <c r="L44" s="5" t="n">
        <v>2668</v>
      </c>
      <c r="M44" s="5" t="n">
        <v>304</v>
      </c>
      <c r="N44" s="5" t="n">
        <v>1080278</v>
      </c>
    </row>
    <row r="45" customFormat="false" ht="15" hidden="false" customHeight="false" outlineLevel="0" collapsed="false">
      <c r="A45" s="4" t="s">
        <v>70</v>
      </c>
      <c r="B45" s="4" t="s">
        <v>29</v>
      </c>
      <c r="C45" s="5" t="n">
        <v>4</v>
      </c>
      <c r="D45" s="5" t="n">
        <v>2118760</v>
      </c>
      <c r="E45" s="5" t="n">
        <v>386130</v>
      </c>
      <c r="F45" s="5" t="n">
        <v>925344</v>
      </c>
      <c r="G45" s="5" t="n">
        <v>471735</v>
      </c>
      <c r="H45" s="5" t="n">
        <v>92565</v>
      </c>
      <c r="I45" s="5" t="n">
        <v>53736</v>
      </c>
      <c r="J45" s="5" t="n">
        <v>139154</v>
      </c>
      <c r="K45" s="5" t="n">
        <v>47124</v>
      </c>
      <c r="L45" s="5" t="n">
        <v>2668</v>
      </c>
      <c r="M45" s="5" t="n">
        <v>304</v>
      </c>
      <c r="N45" s="5" t="n">
        <v>1153121</v>
      </c>
    </row>
    <row r="46" customFormat="false" ht="15" hidden="false" customHeight="false" outlineLevel="0" collapsed="false">
      <c r="A46" s="4" t="s">
        <v>71</v>
      </c>
      <c r="B46" s="4" t="s">
        <v>27</v>
      </c>
      <c r="C46" s="5" t="n">
        <v>12</v>
      </c>
      <c r="D46" s="5" t="n">
        <v>2118760</v>
      </c>
      <c r="E46" s="5" t="n">
        <v>422730</v>
      </c>
      <c r="F46" s="5" t="n">
        <v>977600</v>
      </c>
      <c r="G46" s="5" t="n">
        <v>482790</v>
      </c>
      <c r="H46" s="5" t="n">
        <v>94380</v>
      </c>
      <c r="I46" s="5" t="n">
        <v>49690</v>
      </c>
      <c r="J46" s="5" t="n">
        <v>41518</v>
      </c>
      <c r="K46" s="5" t="n">
        <v>47124</v>
      </c>
      <c r="L46" s="5" t="n">
        <v>2668</v>
      </c>
      <c r="M46" s="5" t="n">
        <v>260</v>
      </c>
      <c r="N46" s="5" t="n">
        <v>1073567</v>
      </c>
    </row>
    <row r="47" customFormat="false" ht="15" hidden="false" customHeight="false" outlineLevel="0" collapsed="false">
      <c r="A47" s="4" t="s">
        <v>72</v>
      </c>
      <c r="B47" s="4" t="s">
        <v>29</v>
      </c>
      <c r="C47" s="5" t="n">
        <v>4</v>
      </c>
      <c r="D47" s="5" t="n">
        <v>2118760</v>
      </c>
      <c r="E47" s="5" t="n">
        <v>390705</v>
      </c>
      <c r="F47" s="5" t="n">
        <v>928200</v>
      </c>
      <c r="G47" s="5" t="n">
        <v>471735</v>
      </c>
      <c r="H47" s="5" t="n">
        <v>92565</v>
      </c>
      <c r="I47" s="5" t="n">
        <v>46305</v>
      </c>
      <c r="J47" s="5" t="n">
        <v>139198</v>
      </c>
      <c r="K47" s="5" t="n">
        <v>47124</v>
      </c>
      <c r="L47" s="5" t="n">
        <v>2668</v>
      </c>
      <c r="M47" s="5" t="n">
        <v>260</v>
      </c>
      <c r="N47" s="5" t="n">
        <v>1146947</v>
      </c>
    </row>
    <row r="48" customFormat="false" ht="15" hidden="false" customHeight="false" outlineLevel="0" collapsed="false">
      <c r="A48" s="4" t="s">
        <v>73</v>
      </c>
      <c r="B48" s="4" t="s">
        <v>27</v>
      </c>
      <c r="C48" s="5" t="n">
        <v>12</v>
      </c>
      <c r="D48" s="5" t="n">
        <v>2118760</v>
      </c>
      <c r="E48" s="5" t="n">
        <v>427680</v>
      </c>
      <c r="F48" s="5" t="n">
        <v>980608</v>
      </c>
      <c r="G48" s="5" t="n">
        <v>482790</v>
      </c>
      <c r="H48" s="5" t="n">
        <v>94380</v>
      </c>
      <c r="I48" s="5" t="n">
        <v>41732</v>
      </c>
      <c r="J48" s="5" t="n">
        <v>41562</v>
      </c>
      <c r="K48" s="5" t="n">
        <v>47124</v>
      </c>
      <c r="L48" s="5" t="n">
        <v>2668</v>
      </c>
      <c r="M48" s="5" t="n">
        <v>216</v>
      </c>
      <c r="N48" s="5" t="n">
        <v>1066856</v>
      </c>
    </row>
    <row r="49" customFormat="false" ht="15" hidden="false" customHeight="false" outlineLevel="0" collapsed="false">
      <c r="A49" s="4" t="s">
        <v>74</v>
      </c>
      <c r="B49" s="4" t="s">
        <v>29</v>
      </c>
      <c r="C49" s="5" t="n">
        <v>4</v>
      </c>
      <c r="D49" s="5" t="n">
        <v>2118760</v>
      </c>
      <c r="E49" s="5" t="n">
        <v>395280</v>
      </c>
      <c r="F49" s="5" t="n">
        <v>931056</v>
      </c>
      <c r="G49" s="5" t="n">
        <v>471735</v>
      </c>
      <c r="H49" s="5" t="n">
        <v>92565</v>
      </c>
      <c r="I49" s="5" t="n">
        <v>38874</v>
      </c>
      <c r="J49" s="5" t="n">
        <v>139242</v>
      </c>
      <c r="K49" s="5" t="n">
        <v>47124</v>
      </c>
      <c r="L49" s="5" t="n">
        <v>2668</v>
      </c>
      <c r="M49" s="5" t="n">
        <v>216</v>
      </c>
      <c r="N49" s="5" t="n">
        <v>1140773</v>
      </c>
    </row>
    <row r="50" customFormat="false" ht="15" hidden="false" customHeight="false" outlineLevel="0" collapsed="false">
      <c r="A50" s="4" t="s">
        <v>75</v>
      </c>
      <c r="B50" s="4" t="s">
        <v>16</v>
      </c>
      <c r="C50" s="5" t="n">
        <v>6</v>
      </c>
      <c r="D50" s="5" t="n">
        <v>2118760</v>
      </c>
      <c r="E50" s="5" t="n">
        <v>0</v>
      </c>
      <c r="F50" s="5" t="n">
        <v>756360</v>
      </c>
      <c r="G50" s="5" t="n">
        <v>838944</v>
      </c>
      <c r="H50" s="5" t="n">
        <v>248952</v>
      </c>
      <c r="I50" s="5" t="n">
        <v>33774</v>
      </c>
      <c r="J50" s="5" t="n">
        <v>41474</v>
      </c>
      <c r="K50" s="5" t="n">
        <v>181104</v>
      </c>
      <c r="L50" s="5" t="n">
        <v>17848</v>
      </c>
      <c r="M50" s="5" t="n">
        <v>304</v>
      </c>
      <c r="N50" s="5" t="n">
        <v>2007436</v>
      </c>
    </row>
    <row r="51" customFormat="false" ht="15" hidden="false" customHeight="false" outlineLevel="0" collapsed="false">
      <c r="A51" s="4" t="s">
        <v>76</v>
      </c>
      <c r="B51" s="4" t="s">
        <v>27</v>
      </c>
      <c r="C51" s="5" t="n">
        <v>12</v>
      </c>
      <c r="D51" s="5" t="n">
        <v>2118760</v>
      </c>
      <c r="E51" s="5" t="n">
        <v>383130</v>
      </c>
      <c r="F51" s="5" t="n">
        <v>926464</v>
      </c>
      <c r="G51" s="5" t="n">
        <v>474660</v>
      </c>
      <c r="H51" s="5" t="n">
        <v>92664</v>
      </c>
      <c r="I51" s="5" t="n">
        <v>150272</v>
      </c>
      <c r="J51" s="5" t="n">
        <v>41430</v>
      </c>
      <c r="K51" s="5" t="n">
        <v>47124</v>
      </c>
      <c r="L51" s="5" t="n">
        <v>2668</v>
      </c>
      <c r="M51" s="5" t="n">
        <v>348</v>
      </c>
      <c r="N51" s="5" t="n">
        <v>1141055</v>
      </c>
    </row>
    <row r="52" customFormat="false" ht="15" hidden="false" customHeight="false" outlineLevel="0" collapsed="false">
      <c r="A52" s="4" t="s">
        <v>77</v>
      </c>
      <c r="B52" s="4" t="s">
        <v>29</v>
      </c>
      <c r="C52" s="5" t="n">
        <v>4</v>
      </c>
      <c r="D52" s="5" t="n">
        <v>2118760</v>
      </c>
      <c r="E52" s="5" t="n">
        <v>354105</v>
      </c>
      <c r="F52" s="5" t="n">
        <v>879648</v>
      </c>
      <c r="G52" s="5" t="n">
        <v>463806</v>
      </c>
      <c r="H52" s="5" t="n">
        <v>90882</v>
      </c>
      <c r="I52" s="5" t="n">
        <v>141069</v>
      </c>
      <c r="J52" s="5" t="n">
        <v>136272</v>
      </c>
      <c r="K52" s="5" t="n">
        <v>47124</v>
      </c>
      <c r="L52" s="5" t="n">
        <v>2668</v>
      </c>
      <c r="M52" s="5" t="n">
        <v>3186</v>
      </c>
      <c r="N52" s="5" t="n">
        <v>1209515</v>
      </c>
    </row>
    <row r="53" customFormat="false" ht="15" hidden="false" customHeight="false" outlineLevel="0" collapsed="false">
      <c r="A53" s="4" t="s">
        <v>78</v>
      </c>
      <c r="B53" s="4" t="s">
        <v>27</v>
      </c>
      <c r="C53" s="5" t="n">
        <v>12</v>
      </c>
      <c r="D53" s="5" t="n">
        <v>2118760</v>
      </c>
      <c r="E53" s="5" t="n">
        <v>378180</v>
      </c>
      <c r="F53" s="5" t="n">
        <v>923456</v>
      </c>
      <c r="G53" s="5" t="n">
        <v>474660</v>
      </c>
      <c r="H53" s="5" t="n">
        <v>92664</v>
      </c>
      <c r="I53" s="5" t="n">
        <v>158230</v>
      </c>
      <c r="J53" s="5" t="n">
        <v>41386</v>
      </c>
      <c r="K53" s="5" t="n">
        <v>47124</v>
      </c>
      <c r="L53" s="5" t="n">
        <v>2668</v>
      </c>
      <c r="M53" s="5" t="n">
        <v>392</v>
      </c>
      <c r="N53" s="5" t="n">
        <v>1147766</v>
      </c>
    </row>
    <row r="54" customFormat="false" ht="15" hidden="false" customHeight="false" outlineLevel="0" collapsed="false">
      <c r="A54" s="4" t="s">
        <v>79</v>
      </c>
      <c r="B54" s="4" t="s">
        <v>29</v>
      </c>
      <c r="C54" s="5" t="n">
        <v>4</v>
      </c>
      <c r="D54" s="5" t="n">
        <v>2118760</v>
      </c>
      <c r="E54" s="5" t="n">
        <v>349530</v>
      </c>
      <c r="F54" s="5" t="n">
        <v>876792</v>
      </c>
      <c r="G54" s="5" t="n">
        <v>463806</v>
      </c>
      <c r="H54" s="5" t="n">
        <v>90882</v>
      </c>
      <c r="I54" s="5" t="n">
        <v>148500</v>
      </c>
      <c r="J54" s="5" t="n">
        <v>136228</v>
      </c>
      <c r="K54" s="5" t="n">
        <v>47124</v>
      </c>
      <c r="L54" s="5" t="n">
        <v>2668</v>
      </c>
      <c r="M54" s="5" t="n">
        <v>3230</v>
      </c>
      <c r="N54" s="5" t="n">
        <v>1215689</v>
      </c>
    </row>
    <row r="55" customFormat="false" ht="15" hidden="false" customHeight="false" outlineLevel="0" collapsed="false">
      <c r="A55" s="4" t="s">
        <v>80</v>
      </c>
      <c r="B55" s="4" t="s">
        <v>27</v>
      </c>
      <c r="C55" s="5" t="n">
        <v>12</v>
      </c>
      <c r="D55" s="5" t="n">
        <v>2118760</v>
      </c>
      <c r="E55" s="5" t="n">
        <v>394020</v>
      </c>
      <c r="F55" s="5" t="n">
        <v>941504</v>
      </c>
      <c r="G55" s="5" t="n">
        <v>477370</v>
      </c>
      <c r="H55" s="5" t="n">
        <v>93236</v>
      </c>
      <c r="I55" s="5" t="n">
        <v>121060</v>
      </c>
      <c r="J55" s="5" t="n">
        <v>41387</v>
      </c>
      <c r="K55" s="5" t="n">
        <v>47124</v>
      </c>
      <c r="L55" s="5" t="n">
        <v>2668</v>
      </c>
      <c r="M55" s="5" t="n">
        <v>391</v>
      </c>
      <c r="N55" s="5" t="n">
        <v>1122291</v>
      </c>
    </row>
    <row r="56" customFormat="false" ht="15" hidden="false" customHeight="false" outlineLevel="0" collapsed="false">
      <c r="A56" s="4" t="s">
        <v>81</v>
      </c>
      <c r="B56" s="4" t="s">
        <v>29</v>
      </c>
      <c r="C56" s="5" t="n">
        <v>4</v>
      </c>
      <c r="D56" s="5" t="n">
        <v>2118760</v>
      </c>
      <c r="E56" s="5" t="n">
        <v>364170</v>
      </c>
      <c r="F56" s="5" t="n">
        <v>893928</v>
      </c>
      <c r="G56" s="5" t="n">
        <v>466449</v>
      </c>
      <c r="H56" s="5" t="n">
        <v>91443</v>
      </c>
      <c r="I56" s="5" t="n">
        <v>113520</v>
      </c>
      <c r="J56" s="5" t="n">
        <v>137219</v>
      </c>
      <c r="K56" s="5" t="n">
        <v>47124</v>
      </c>
      <c r="L56" s="5" t="n">
        <v>2668</v>
      </c>
      <c r="M56" s="5" t="n">
        <v>2239</v>
      </c>
      <c r="N56" s="5" t="n">
        <v>1192049</v>
      </c>
    </row>
    <row r="57" customFormat="false" ht="15" hidden="false" customHeight="false" outlineLevel="0" collapsed="false">
      <c r="A57" s="4" t="s">
        <v>82</v>
      </c>
      <c r="B57" s="4" t="s">
        <v>27</v>
      </c>
      <c r="C57" s="5" t="n">
        <v>12</v>
      </c>
      <c r="D57" s="5" t="n">
        <v>2118760</v>
      </c>
      <c r="E57" s="5" t="n">
        <v>403920</v>
      </c>
      <c r="F57" s="5" t="n">
        <v>956544</v>
      </c>
      <c r="G57" s="5" t="n">
        <v>480080</v>
      </c>
      <c r="H57" s="5" t="n">
        <v>93808</v>
      </c>
      <c r="I57" s="5" t="n">
        <v>92838</v>
      </c>
      <c r="J57" s="5" t="n">
        <v>41387</v>
      </c>
      <c r="K57" s="5" t="n">
        <v>47124</v>
      </c>
      <c r="L57" s="5" t="n">
        <v>2668</v>
      </c>
      <c r="M57" s="5" t="n">
        <v>391</v>
      </c>
      <c r="N57" s="5" t="n">
        <v>1104269</v>
      </c>
    </row>
    <row r="58" customFormat="false" ht="15" hidden="false" customHeight="false" outlineLevel="0" collapsed="false">
      <c r="A58" s="4" t="s">
        <v>83</v>
      </c>
      <c r="B58" s="4" t="s">
        <v>29</v>
      </c>
      <c r="C58" s="5" t="n">
        <v>4</v>
      </c>
      <c r="D58" s="5" t="n">
        <v>2118760</v>
      </c>
      <c r="E58" s="5" t="n">
        <v>373320</v>
      </c>
      <c r="F58" s="5" t="n">
        <v>908208</v>
      </c>
      <c r="G58" s="5" t="n">
        <v>469092</v>
      </c>
      <c r="H58" s="5" t="n">
        <v>92004</v>
      </c>
      <c r="I58" s="5" t="n">
        <v>86886</v>
      </c>
      <c r="J58" s="5" t="n">
        <v>138165</v>
      </c>
      <c r="K58" s="5" t="n">
        <v>47124</v>
      </c>
      <c r="L58" s="5" t="n">
        <v>2668</v>
      </c>
      <c r="M58" s="5" t="n">
        <v>1293</v>
      </c>
      <c r="N58" s="5" t="n">
        <v>1175309</v>
      </c>
    </row>
    <row r="59" customFormat="false" ht="15" hidden="false" customHeight="false" outlineLevel="0" collapsed="false">
      <c r="A59" s="4" t="s">
        <v>84</v>
      </c>
      <c r="B59" s="4" t="s">
        <v>27</v>
      </c>
      <c r="C59" s="5" t="n">
        <v>12</v>
      </c>
      <c r="D59" s="5" t="n">
        <v>2118760</v>
      </c>
      <c r="E59" s="5" t="n">
        <v>413820</v>
      </c>
      <c r="F59" s="5" t="n">
        <v>971584</v>
      </c>
      <c r="G59" s="5" t="n">
        <v>482790</v>
      </c>
      <c r="H59" s="5" t="n">
        <v>94380</v>
      </c>
      <c r="I59" s="5" t="n">
        <v>64616</v>
      </c>
      <c r="J59" s="5" t="n">
        <v>41387</v>
      </c>
      <c r="K59" s="5" t="n">
        <v>47124</v>
      </c>
      <c r="L59" s="5" t="n">
        <v>2668</v>
      </c>
      <c r="M59" s="5" t="n">
        <v>391</v>
      </c>
      <c r="N59" s="5" t="n">
        <v>1086247</v>
      </c>
    </row>
    <row r="60" customFormat="false" ht="15" hidden="false" customHeight="false" outlineLevel="0" collapsed="false">
      <c r="A60" s="4" t="s">
        <v>85</v>
      </c>
      <c r="B60" s="4" t="s">
        <v>29</v>
      </c>
      <c r="C60" s="5" t="n">
        <v>4</v>
      </c>
      <c r="D60" s="5" t="n">
        <v>2118760</v>
      </c>
      <c r="E60" s="5" t="n">
        <v>382470</v>
      </c>
      <c r="F60" s="5" t="n">
        <v>922488</v>
      </c>
      <c r="G60" s="5" t="n">
        <v>471735</v>
      </c>
      <c r="H60" s="5" t="n">
        <v>92565</v>
      </c>
      <c r="I60" s="5" t="n">
        <v>60252</v>
      </c>
      <c r="J60" s="5" t="n">
        <v>139111</v>
      </c>
      <c r="K60" s="5" t="n">
        <v>47124</v>
      </c>
      <c r="L60" s="5" t="n">
        <v>2668</v>
      </c>
      <c r="M60" s="5" t="n">
        <v>347</v>
      </c>
      <c r="N60" s="5" t="n">
        <v>1158569</v>
      </c>
    </row>
    <row r="61" customFormat="false" ht="15" hidden="false" customHeight="false" outlineLevel="0" collapsed="false">
      <c r="A61" s="4" t="s">
        <v>86</v>
      </c>
      <c r="B61" s="4" t="s">
        <v>27</v>
      </c>
      <c r="C61" s="5" t="n">
        <v>12</v>
      </c>
      <c r="D61" s="5" t="n">
        <v>2118760</v>
      </c>
      <c r="E61" s="5" t="n">
        <v>408870</v>
      </c>
      <c r="F61" s="5" t="n">
        <v>968576</v>
      </c>
      <c r="G61" s="5" t="n">
        <v>482790</v>
      </c>
      <c r="H61" s="5" t="n">
        <v>94380</v>
      </c>
      <c r="I61" s="5" t="n">
        <v>72574</v>
      </c>
      <c r="J61" s="5" t="n">
        <v>41387</v>
      </c>
      <c r="K61" s="5" t="n">
        <v>47124</v>
      </c>
      <c r="L61" s="5" t="n">
        <v>2668</v>
      </c>
      <c r="M61" s="5" t="n">
        <v>391</v>
      </c>
      <c r="N61" s="5" t="n">
        <v>1092709</v>
      </c>
    </row>
    <row r="62" customFormat="false" ht="15" hidden="false" customHeight="false" outlineLevel="0" collapsed="false">
      <c r="A62" s="4" t="s">
        <v>87</v>
      </c>
      <c r="B62" s="4" t="s">
        <v>29</v>
      </c>
      <c r="C62" s="5" t="n">
        <v>4</v>
      </c>
      <c r="D62" s="5" t="n">
        <v>2118760</v>
      </c>
      <c r="E62" s="5" t="n">
        <v>377895</v>
      </c>
      <c r="F62" s="5" t="n">
        <v>919632</v>
      </c>
      <c r="G62" s="5" t="n">
        <v>471735</v>
      </c>
      <c r="H62" s="5" t="n">
        <v>92565</v>
      </c>
      <c r="I62" s="5" t="n">
        <v>67683</v>
      </c>
      <c r="J62" s="5" t="n">
        <v>139067</v>
      </c>
      <c r="K62" s="5" t="n">
        <v>47124</v>
      </c>
      <c r="L62" s="5" t="n">
        <v>2668</v>
      </c>
      <c r="M62" s="5" t="n">
        <v>391</v>
      </c>
      <c r="N62" s="5" t="n">
        <v>1164553</v>
      </c>
    </row>
    <row r="63" customFormat="false" ht="15" hidden="false" customHeight="false" outlineLevel="0" collapsed="false">
      <c r="A63" s="4" t="s">
        <v>88</v>
      </c>
      <c r="B63" s="4" t="s">
        <v>27</v>
      </c>
      <c r="C63" s="5" t="n">
        <v>12</v>
      </c>
      <c r="D63" s="5" t="n">
        <v>2118760</v>
      </c>
      <c r="E63" s="5" t="n">
        <v>407880</v>
      </c>
      <c r="F63" s="5" t="n">
        <v>968576</v>
      </c>
      <c r="G63" s="5" t="n">
        <v>482790</v>
      </c>
      <c r="H63" s="5" t="n">
        <v>94380</v>
      </c>
      <c r="I63" s="5" t="n">
        <v>73564</v>
      </c>
      <c r="J63" s="5" t="n">
        <v>41386</v>
      </c>
      <c r="K63" s="5" t="n">
        <v>47124</v>
      </c>
      <c r="L63" s="5" t="n">
        <v>2668</v>
      </c>
      <c r="M63" s="5" t="n">
        <v>392</v>
      </c>
      <c r="N63" s="5" t="n">
        <v>1093700</v>
      </c>
    </row>
    <row r="64" customFormat="false" ht="15" hidden="false" customHeight="false" outlineLevel="0" collapsed="false">
      <c r="A64" s="4" t="s">
        <v>89</v>
      </c>
      <c r="B64" s="4" t="s">
        <v>29</v>
      </c>
      <c r="C64" s="5" t="n">
        <v>4</v>
      </c>
      <c r="D64" s="5" t="n">
        <v>2118760</v>
      </c>
      <c r="E64" s="5" t="n">
        <v>376980</v>
      </c>
      <c r="F64" s="5" t="n">
        <v>919632</v>
      </c>
      <c r="G64" s="5" t="n">
        <v>471735</v>
      </c>
      <c r="H64" s="5" t="n">
        <v>92565</v>
      </c>
      <c r="I64" s="5" t="n">
        <v>68598</v>
      </c>
      <c r="J64" s="5" t="n">
        <v>139066</v>
      </c>
      <c r="K64" s="5" t="n">
        <v>47124</v>
      </c>
      <c r="L64" s="5" t="n">
        <v>2668</v>
      </c>
      <c r="M64" s="5" t="n">
        <v>392</v>
      </c>
      <c r="N64" s="5" t="n">
        <v>1165469</v>
      </c>
    </row>
    <row r="65" customFormat="false" ht="15" hidden="false" customHeight="false" outlineLevel="0" collapsed="false">
      <c r="A65" s="4" t="s">
        <v>90</v>
      </c>
      <c r="B65" s="4" t="s">
        <v>27</v>
      </c>
      <c r="C65" s="5" t="n">
        <v>12</v>
      </c>
      <c r="D65" s="5" t="n">
        <v>2118760</v>
      </c>
      <c r="E65" s="5" t="n">
        <v>412830</v>
      </c>
      <c r="F65" s="5" t="n">
        <v>971584</v>
      </c>
      <c r="G65" s="5" t="n">
        <v>482790</v>
      </c>
      <c r="H65" s="5" t="n">
        <v>94380</v>
      </c>
      <c r="I65" s="5" t="n">
        <v>65606</v>
      </c>
      <c r="J65" s="5" t="n">
        <v>41430</v>
      </c>
      <c r="K65" s="5" t="n">
        <v>47124</v>
      </c>
      <c r="L65" s="5" t="n">
        <v>2668</v>
      </c>
      <c r="M65" s="5" t="n">
        <v>348</v>
      </c>
      <c r="N65" s="5" t="n">
        <v>1086989</v>
      </c>
    </row>
    <row r="66" customFormat="false" ht="15" hidden="false" customHeight="false" outlineLevel="0" collapsed="false">
      <c r="A66" s="4" t="s">
        <v>91</v>
      </c>
      <c r="B66" s="4" t="s">
        <v>29</v>
      </c>
      <c r="C66" s="5" t="n">
        <v>4</v>
      </c>
      <c r="D66" s="5" t="n">
        <v>2118760</v>
      </c>
      <c r="E66" s="5" t="n">
        <v>381555</v>
      </c>
      <c r="F66" s="5" t="n">
        <v>922488</v>
      </c>
      <c r="G66" s="5" t="n">
        <v>471735</v>
      </c>
      <c r="H66" s="5" t="n">
        <v>92565</v>
      </c>
      <c r="I66" s="5" t="n">
        <v>61167</v>
      </c>
      <c r="J66" s="5" t="n">
        <v>139110</v>
      </c>
      <c r="K66" s="5" t="n">
        <v>47124</v>
      </c>
      <c r="L66" s="5" t="n">
        <v>2668</v>
      </c>
      <c r="M66" s="5" t="n">
        <v>348</v>
      </c>
      <c r="N66" s="5" t="n">
        <v>1159295</v>
      </c>
    </row>
    <row r="67" customFormat="false" ht="15" hidden="false" customHeight="false" outlineLevel="0" collapsed="false">
      <c r="A67" s="4" t="s">
        <v>92</v>
      </c>
      <c r="B67" s="4" t="s">
        <v>27</v>
      </c>
      <c r="C67" s="5" t="n">
        <v>12</v>
      </c>
      <c r="D67" s="5" t="n">
        <v>2118760</v>
      </c>
      <c r="E67" s="5" t="n">
        <v>417780</v>
      </c>
      <c r="F67" s="5" t="n">
        <v>974592</v>
      </c>
      <c r="G67" s="5" t="n">
        <v>482790</v>
      </c>
      <c r="H67" s="5" t="n">
        <v>94380</v>
      </c>
      <c r="I67" s="5" t="n">
        <v>57648</v>
      </c>
      <c r="J67" s="5" t="n">
        <v>41474</v>
      </c>
      <c r="K67" s="5" t="n">
        <v>47124</v>
      </c>
      <c r="L67" s="5" t="n">
        <v>2668</v>
      </c>
      <c r="M67" s="5" t="n">
        <v>304</v>
      </c>
      <c r="N67" s="5" t="n">
        <v>1080278</v>
      </c>
    </row>
    <row r="68" customFormat="false" ht="15" hidden="false" customHeight="false" outlineLevel="0" collapsed="false">
      <c r="A68" s="4" t="s">
        <v>93</v>
      </c>
      <c r="B68" s="4" t="s">
        <v>29</v>
      </c>
      <c r="C68" s="5" t="n">
        <v>4</v>
      </c>
      <c r="D68" s="5" t="n">
        <v>2118760</v>
      </c>
      <c r="E68" s="5" t="n">
        <v>386130</v>
      </c>
      <c r="F68" s="5" t="n">
        <v>925344</v>
      </c>
      <c r="G68" s="5" t="n">
        <v>471735</v>
      </c>
      <c r="H68" s="5" t="n">
        <v>92565</v>
      </c>
      <c r="I68" s="5" t="n">
        <v>53736</v>
      </c>
      <c r="J68" s="5" t="n">
        <v>139154</v>
      </c>
      <c r="K68" s="5" t="n">
        <v>47124</v>
      </c>
      <c r="L68" s="5" t="n">
        <v>2668</v>
      </c>
      <c r="M68" s="5" t="n">
        <v>304</v>
      </c>
      <c r="N68" s="5" t="n">
        <v>1153121</v>
      </c>
    </row>
    <row r="69" customFormat="false" ht="15" hidden="false" customHeight="false" outlineLevel="0" collapsed="false">
      <c r="A69" s="4" t="s">
        <v>94</v>
      </c>
      <c r="B69" s="4" t="s">
        <v>27</v>
      </c>
      <c r="C69" s="5" t="n">
        <v>12</v>
      </c>
      <c r="D69" s="5" t="n">
        <v>2118760</v>
      </c>
      <c r="E69" s="5" t="n">
        <v>422730</v>
      </c>
      <c r="F69" s="5" t="n">
        <v>977600</v>
      </c>
      <c r="G69" s="5" t="n">
        <v>482790</v>
      </c>
      <c r="H69" s="5" t="n">
        <v>94380</v>
      </c>
      <c r="I69" s="5" t="n">
        <v>49690</v>
      </c>
      <c r="J69" s="5" t="n">
        <v>41518</v>
      </c>
      <c r="K69" s="5" t="n">
        <v>47124</v>
      </c>
      <c r="L69" s="5" t="n">
        <v>2668</v>
      </c>
      <c r="M69" s="5" t="n">
        <v>260</v>
      </c>
      <c r="N69" s="5" t="n">
        <v>1073567</v>
      </c>
    </row>
    <row r="70" customFormat="false" ht="15" hidden="false" customHeight="false" outlineLevel="0" collapsed="false">
      <c r="A70" s="4" t="s">
        <v>95</v>
      </c>
      <c r="B70" s="4" t="s">
        <v>29</v>
      </c>
      <c r="C70" s="5" t="n">
        <v>4</v>
      </c>
      <c r="D70" s="5" t="n">
        <v>2118760</v>
      </c>
      <c r="E70" s="5" t="n">
        <v>390705</v>
      </c>
      <c r="F70" s="5" t="n">
        <v>928200</v>
      </c>
      <c r="G70" s="5" t="n">
        <v>471735</v>
      </c>
      <c r="H70" s="5" t="n">
        <v>92565</v>
      </c>
      <c r="I70" s="5" t="n">
        <v>46305</v>
      </c>
      <c r="J70" s="5" t="n">
        <v>139198</v>
      </c>
      <c r="K70" s="5" t="n">
        <v>47124</v>
      </c>
      <c r="L70" s="5" t="n">
        <v>2668</v>
      </c>
      <c r="M70" s="5" t="n">
        <v>260</v>
      </c>
      <c r="N70" s="5" t="n">
        <v>1146947</v>
      </c>
    </row>
    <row r="71" customFormat="false" ht="15" hidden="false" customHeight="false" outlineLevel="0" collapsed="false">
      <c r="A71" s="4" t="s">
        <v>96</v>
      </c>
      <c r="B71" s="4" t="s">
        <v>16</v>
      </c>
      <c r="C71" s="5" t="n">
        <v>6</v>
      </c>
      <c r="D71" s="5" t="n">
        <v>2118760</v>
      </c>
      <c r="E71" s="5" t="n">
        <v>0</v>
      </c>
      <c r="F71" s="5" t="n">
        <v>750420</v>
      </c>
      <c r="G71" s="5" t="n">
        <v>837432</v>
      </c>
      <c r="H71" s="5" t="n">
        <v>248446</v>
      </c>
      <c r="I71" s="5" t="n">
        <v>41732</v>
      </c>
      <c r="J71" s="5" t="n">
        <v>41386</v>
      </c>
      <c r="K71" s="5" t="n">
        <v>181104</v>
      </c>
      <c r="L71" s="5" t="n">
        <v>17848</v>
      </c>
      <c r="M71" s="5" t="n">
        <v>392</v>
      </c>
      <c r="N71" s="5" t="n">
        <v>2007934</v>
      </c>
    </row>
    <row r="72" customFormat="false" ht="15" hidden="false" customHeight="false" outlineLevel="0" collapsed="false">
      <c r="A72" s="4" t="s">
        <v>97</v>
      </c>
      <c r="B72" s="4" t="s">
        <v>27</v>
      </c>
      <c r="C72" s="5" t="n">
        <v>12</v>
      </c>
      <c r="D72" s="5" t="n">
        <v>2118760</v>
      </c>
      <c r="E72" s="5" t="n">
        <v>363330</v>
      </c>
      <c r="F72" s="5" t="n">
        <v>905408</v>
      </c>
      <c r="G72" s="5" t="n">
        <v>471950</v>
      </c>
      <c r="H72" s="5" t="n">
        <v>92092</v>
      </c>
      <c r="I72" s="5" t="n">
        <v>194410</v>
      </c>
      <c r="J72" s="5" t="n">
        <v>41342</v>
      </c>
      <c r="K72" s="5" t="n">
        <v>47124</v>
      </c>
      <c r="L72" s="5" t="n">
        <v>2668</v>
      </c>
      <c r="M72" s="5" t="n">
        <v>436</v>
      </c>
      <c r="N72" s="5" t="n">
        <v>1172499</v>
      </c>
    </row>
    <row r="73" customFormat="false" ht="15" hidden="false" customHeight="false" outlineLevel="0" collapsed="false">
      <c r="A73" s="4" t="s">
        <v>98</v>
      </c>
      <c r="B73" s="4" t="s">
        <v>29</v>
      </c>
      <c r="C73" s="5" t="n">
        <v>4</v>
      </c>
      <c r="D73" s="5" t="n">
        <v>2118760</v>
      </c>
      <c r="E73" s="5" t="n">
        <v>335805</v>
      </c>
      <c r="F73" s="5" t="n">
        <v>859656</v>
      </c>
      <c r="G73" s="5" t="n">
        <v>461163</v>
      </c>
      <c r="H73" s="5" t="n">
        <v>90321</v>
      </c>
      <c r="I73" s="5" t="n">
        <v>182565</v>
      </c>
      <c r="J73" s="5" t="n">
        <v>135238</v>
      </c>
      <c r="K73" s="5" t="n">
        <v>47124</v>
      </c>
      <c r="L73" s="5" t="n">
        <v>2668</v>
      </c>
      <c r="M73" s="5" t="n">
        <v>4220</v>
      </c>
      <c r="N73" s="5" t="n">
        <v>1238603</v>
      </c>
    </row>
    <row r="74" customFormat="false" ht="15" hidden="false" customHeight="false" outlineLevel="0" collapsed="false">
      <c r="A74" s="4" t="s">
        <v>99</v>
      </c>
      <c r="B74" s="4" t="s">
        <v>27</v>
      </c>
      <c r="C74" s="5" t="n">
        <v>12</v>
      </c>
      <c r="D74" s="5" t="n">
        <v>2118760</v>
      </c>
      <c r="E74" s="5" t="n">
        <v>379170</v>
      </c>
      <c r="F74" s="5" t="n">
        <v>923456</v>
      </c>
      <c r="G74" s="5" t="n">
        <v>474660</v>
      </c>
      <c r="H74" s="5" t="n">
        <v>92664</v>
      </c>
      <c r="I74" s="5" t="n">
        <v>157240</v>
      </c>
      <c r="J74" s="5" t="n">
        <v>41343</v>
      </c>
      <c r="K74" s="5" t="n">
        <v>47124</v>
      </c>
      <c r="L74" s="5" t="n">
        <v>2668</v>
      </c>
      <c r="M74" s="5" t="n">
        <v>435</v>
      </c>
      <c r="N74" s="5" t="n">
        <v>1147024</v>
      </c>
    </row>
    <row r="75" customFormat="false" ht="15" hidden="false" customHeight="false" outlineLevel="0" collapsed="false">
      <c r="A75" s="4" t="s">
        <v>100</v>
      </c>
      <c r="B75" s="4" t="s">
        <v>29</v>
      </c>
      <c r="C75" s="5" t="n">
        <v>4</v>
      </c>
      <c r="D75" s="5" t="n">
        <v>2118760</v>
      </c>
      <c r="E75" s="5" t="n">
        <v>350445</v>
      </c>
      <c r="F75" s="5" t="n">
        <v>876792</v>
      </c>
      <c r="G75" s="5" t="n">
        <v>463806</v>
      </c>
      <c r="H75" s="5" t="n">
        <v>90882</v>
      </c>
      <c r="I75" s="5" t="n">
        <v>147585</v>
      </c>
      <c r="J75" s="5" t="n">
        <v>136229</v>
      </c>
      <c r="K75" s="5" t="n">
        <v>47124</v>
      </c>
      <c r="L75" s="5" t="n">
        <v>2668</v>
      </c>
      <c r="M75" s="5" t="n">
        <v>3229</v>
      </c>
      <c r="N75" s="5" t="n">
        <v>1214963</v>
      </c>
    </row>
    <row r="76" customFormat="false" ht="15" hidden="false" customHeight="false" outlineLevel="0" collapsed="false">
      <c r="A76" s="4" t="s">
        <v>101</v>
      </c>
      <c r="B76" s="4" t="s">
        <v>27</v>
      </c>
      <c r="C76" s="5" t="n">
        <v>12</v>
      </c>
      <c r="D76" s="5" t="n">
        <v>2118760</v>
      </c>
      <c r="E76" s="5" t="n">
        <v>389070</v>
      </c>
      <c r="F76" s="5" t="n">
        <v>938496</v>
      </c>
      <c r="G76" s="5" t="n">
        <v>477370</v>
      </c>
      <c r="H76" s="5" t="n">
        <v>93236</v>
      </c>
      <c r="I76" s="5" t="n">
        <v>129018</v>
      </c>
      <c r="J76" s="5" t="n">
        <v>41343</v>
      </c>
      <c r="K76" s="5" t="n">
        <v>47124</v>
      </c>
      <c r="L76" s="5" t="n">
        <v>2668</v>
      </c>
      <c r="M76" s="5" t="n">
        <v>435</v>
      </c>
      <c r="N76" s="5" t="n">
        <v>1129002</v>
      </c>
    </row>
    <row r="77" customFormat="false" ht="15" hidden="false" customHeight="false" outlineLevel="0" collapsed="false">
      <c r="A77" s="4" t="s">
        <v>102</v>
      </c>
      <c r="B77" s="4" t="s">
        <v>29</v>
      </c>
      <c r="C77" s="5" t="n">
        <v>4</v>
      </c>
      <c r="D77" s="5" t="n">
        <v>2118760</v>
      </c>
      <c r="E77" s="5" t="n">
        <v>359595</v>
      </c>
      <c r="F77" s="5" t="n">
        <v>891072</v>
      </c>
      <c r="G77" s="5" t="n">
        <v>466449</v>
      </c>
      <c r="H77" s="5" t="n">
        <v>91443</v>
      </c>
      <c r="I77" s="5" t="n">
        <v>120951</v>
      </c>
      <c r="J77" s="5" t="n">
        <v>137175</v>
      </c>
      <c r="K77" s="5" t="n">
        <v>47124</v>
      </c>
      <c r="L77" s="5" t="n">
        <v>2668</v>
      </c>
      <c r="M77" s="5" t="n">
        <v>2283</v>
      </c>
      <c r="N77" s="5" t="n">
        <v>1198223</v>
      </c>
    </row>
    <row r="78" customFormat="false" ht="15" hidden="false" customHeight="false" outlineLevel="0" collapsed="false">
      <c r="A78" s="4" t="s">
        <v>103</v>
      </c>
      <c r="B78" s="4" t="s">
        <v>27</v>
      </c>
      <c r="C78" s="5" t="n">
        <v>12</v>
      </c>
      <c r="D78" s="5" t="n">
        <v>2118760</v>
      </c>
      <c r="E78" s="5" t="n">
        <v>398970</v>
      </c>
      <c r="F78" s="5" t="n">
        <v>953536</v>
      </c>
      <c r="G78" s="5" t="n">
        <v>480080</v>
      </c>
      <c r="H78" s="5" t="n">
        <v>93808</v>
      </c>
      <c r="I78" s="5" t="n">
        <v>100796</v>
      </c>
      <c r="J78" s="5" t="n">
        <v>41343</v>
      </c>
      <c r="K78" s="5" t="n">
        <v>47124</v>
      </c>
      <c r="L78" s="5" t="n">
        <v>2668</v>
      </c>
      <c r="M78" s="5" t="n">
        <v>435</v>
      </c>
      <c r="N78" s="5" t="n">
        <v>1110980</v>
      </c>
    </row>
    <row r="79" customFormat="false" ht="15" hidden="false" customHeight="false" outlineLevel="0" collapsed="false">
      <c r="A79" s="4" t="s">
        <v>104</v>
      </c>
      <c r="B79" s="4" t="s">
        <v>29</v>
      </c>
      <c r="C79" s="5" t="n">
        <v>4</v>
      </c>
      <c r="D79" s="5" t="n">
        <v>2118760</v>
      </c>
      <c r="E79" s="5" t="n">
        <v>368745</v>
      </c>
      <c r="F79" s="5" t="n">
        <v>905352</v>
      </c>
      <c r="G79" s="5" t="n">
        <v>469092</v>
      </c>
      <c r="H79" s="5" t="n">
        <v>92004</v>
      </c>
      <c r="I79" s="5" t="n">
        <v>94317</v>
      </c>
      <c r="J79" s="5" t="n">
        <v>138121</v>
      </c>
      <c r="K79" s="5" t="n">
        <v>47124</v>
      </c>
      <c r="L79" s="5" t="n">
        <v>2668</v>
      </c>
      <c r="M79" s="5" t="n">
        <v>1337</v>
      </c>
      <c r="N79" s="5" t="n">
        <v>1181483</v>
      </c>
    </row>
    <row r="80" customFormat="false" ht="15" hidden="false" customHeight="false" outlineLevel="0" collapsed="false">
      <c r="A80" s="4" t="s">
        <v>105</v>
      </c>
      <c r="B80" s="4" t="s">
        <v>27</v>
      </c>
      <c r="C80" s="5" t="n">
        <v>12</v>
      </c>
      <c r="D80" s="5" t="n">
        <v>2118760</v>
      </c>
      <c r="E80" s="5" t="n">
        <v>408870</v>
      </c>
      <c r="F80" s="5" t="n">
        <v>968576</v>
      </c>
      <c r="G80" s="5" t="n">
        <v>482790</v>
      </c>
      <c r="H80" s="5" t="n">
        <v>94380</v>
      </c>
      <c r="I80" s="5" t="n">
        <v>72574</v>
      </c>
      <c r="J80" s="5" t="n">
        <v>41343</v>
      </c>
      <c r="K80" s="5" t="n">
        <v>47124</v>
      </c>
      <c r="L80" s="5" t="n">
        <v>2668</v>
      </c>
      <c r="M80" s="5" t="n">
        <v>435</v>
      </c>
      <c r="N80" s="5" t="n">
        <v>1092958</v>
      </c>
    </row>
    <row r="81" customFormat="false" ht="15" hidden="false" customHeight="false" outlineLevel="0" collapsed="false">
      <c r="A81" s="4" t="s">
        <v>106</v>
      </c>
      <c r="B81" s="4" t="s">
        <v>29</v>
      </c>
      <c r="C81" s="5" t="n">
        <v>4</v>
      </c>
      <c r="D81" s="5" t="n">
        <v>2118760</v>
      </c>
      <c r="E81" s="5" t="n">
        <v>377895</v>
      </c>
      <c r="F81" s="5" t="n">
        <v>919632</v>
      </c>
      <c r="G81" s="5" t="n">
        <v>471735</v>
      </c>
      <c r="H81" s="5" t="n">
        <v>92565</v>
      </c>
      <c r="I81" s="5" t="n">
        <v>67683</v>
      </c>
      <c r="J81" s="5" t="n">
        <v>139067</v>
      </c>
      <c r="K81" s="5" t="n">
        <v>47124</v>
      </c>
      <c r="L81" s="5" t="n">
        <v>2668</v>
      </c>
      <c r="M81" s="5" t="n">
        <v>391</v>
      </c>
      <c r="N81" s="5" t="n">
        <v>1164743</v>
      </c>
    </row>
    <row r="82" customFormat="false" ht="15" hidden="false" customHeight="false" outlineLevel="0" collapsed="false">
      <c r="A82" s="4" t="s">
        <v>107</v>
      </c>
      <c r="B82" s="4" t="s">
        <v>27</v>
      </c>
      <c r="C82" s="5" t="n">
        <v>12</v>
      </c>
      <c r="D82" s="5" t="n">
        <v>2118760</v>
      </c>
      <c r="E82" s="5" t="n">
        <v>402930</v>
      </c>
      <c r="F82" s="5" t="n">
        <v>965568</v>
      </c>
      <c r="G82" s="5" t="n">
        <v>482790</v>
      </c>
      <c r="H82" s="5" t="n">
        <v>94380</v>
      </c>
      <c r="I82" s="5" t="n">
        <v>81522</v>
      </c>
      <c r="J82" s="5" t="n">
        <v>41342</v>
      </c>
      <c r="K82" s="5" t="n">
        <v>47124</v>
      </c>
      <c r="L82" s="5" t="n">
        <v>2668</v>
      </c>
      <c r="M82" s="5" t="n">
        <v>436</v>
      </c>
      <c r="N82" s="5" t="n">
        <v>1100411</v>
      </c>
    </row>
    <row r="83" customFormat="false" ht="15" hidden="false" customHeight="false" outlineLevel="0" collapsed="false">
      <c r="A83" s="4" t="s">
        <v>108</v>
      </c>
      <c r="B83" s="4" t="s">
        <v>29</v>
      </c>
      <c r="C83" s="5" t="n">
        <v>4</v>
      </c>
      <c r="D83" s="5" t="n">
        <v>2118760</v>
      </c>
      <c r="E83" s="5" t="n">
        <v>372405</v>
      </c>
      <c r="F83" s="5" t="n">
        <v>916776</v>
      </c>
      <c r="G83" s="5" t="n">
        <v>471735</v>
      </c>
      <c r="H83" s="5" t="n">
        <v>92565</v>
      </c>
      <c r="I83" s="5" t="n">
        <v>76029</v>
      </c>
      <c r="J83" s="5" t="n">
        <v>139022</v>
      </c>
      <c r="K83" s="5" t="n">
        <v>47124</v>
      </c>
      <c r="L83" s="5" t="n">
        <v>2668</v>
      </c>
      <c r="M83" s="5" t="n">
        <v>436</v>
      </c>
      <c r="N83" s="5" t="n">
        <v>1171643</v>
      </c>
    </row>
    <row r="84" customFormat="false" ht="15" hidden="false" customHeight="false" outlineLevel="0" collapsed="false">
      <c r="A84" s="4" t="s">
        <v>109</v>
      </c>
      <c r="B84" s="4" t="s">
        <v>27</v>
      </c>
      <c r="C84" s="5" t="n">
        <v>12</v>
      </c>
      <c r="D84" s="5" t="n">
        <v>2118760</v>
      </c>
      <c r="E84" s="5" t="n">
        <v>407880</v>
      </c>
      <c r="F84" s="5" t="n">
        <v>968576</v>
      </c>
      <c r="G84" s="5" t="n">
        <v>482790</v>
      </c>
      <c r="H84" s="5" t="n">
        <v>94380</v>
      </c>
      <c r="I84" s="5" t="n">
        <v>73564</v>
      </c>
      <c r="J84" s="5" t="n">
        <v>41386</v>
      </c>
      <c r="K84" s="5" t="n">
        <v>47124</v>
      </c>
      <c r="L84" s="5" t="n">
        <v>2668</v>
      </c>
      <c r="M84" s="5" t="n">
        <v>392</v>
      </c>
      <c r="N84" s="5" t="n">
        <v>1093700</v>
      </c>
    </row>
    <row r="85" customFormat="false" ht="15" hidden="false" customHeight="false" outlineLevel="0" collapsed="false">
      <c r="A85" s="4" t="s">
        <v>110</v>
      </c>
      <c r="B85" s="4" t="s">
        <v>29</v>
      </c>
      <c r="C85" s="5" t="n">
        <v>4</v>
      </c>
      <c r="D85" s="5" t="n">
        <v>2118760</v>
      </c>
      <c r="E85" s="5" t="n">
        <v>376980</v>
      </c>
      <c r="F85" s="5" t="n">
        <v>919632</v>
      </c>
      <c r="G85" s="5" t="n">
        <v>471735</v>
      </c>
      <c r="H85" s="5" t="n">
        <v>92565</v>
      </c>
      <c r="I85" s="5" t="n">
        <v>68598</v>
      </c>
      <c r="J85" s="5" t="n">
        <v>139066</v>
      </c>
      <c r="K85" s="5" t="n">
        <v>47124</v>
      </c>
      <c r="L85" s="5" t="n">
        <v>2668</v>
      </c>
      <c r="M85" s="5" t="n">
        <v>392</v>
      </c>
      <c r="N85" s="5" t="n">
        <v>1165469</v>
      </c>
    </row>
    <row r="86" customFormat="false" ht="15" hidden="false" customHeight="false" outlineLevel="0" collapsed="false">
      <c r="A86" s="4" t="s">
        <v>111</v>
      </c>
      <c r="B86" s="4" t="s">
        <v>27</v>
      </c>
      <c r="C86" s="5" t="n">
        <v>12</v>
      </c>
      <c r="D86" s="5" t="n">
        <v>2118760</v>
      </c>
      <c r="E86" s="5" t="n">
        <v>412830</v>
      </c>
      <c r="F86" s="5" t="n">
        <v>971584</v>
      </c>
      <c r="G86" s="5" t="n">
        <v>482790</v>
      </c>
      <c r="H86" s="5" t="n">
        <v>94380</v>
      </c>
      <c r="I86" s="5" t="n">
        <v>65606</v>
      </c>
      <c r="J86" s="5" t="n">
        <v>41430</v>
      </c>
      <c r="K86" s="5" t="n">
        <v>47124</v>
      </c>
      <c r="L86" s="5" t="n">
        <v>2668</v>
      </c>
      <c r="M86" s="5" t="n">
        <v>348</v>
      </c>
      <c r="N86" s="5" t="n">
        <v>1086989</v>
      </c>
    </row>
    <row r="87" customFormat="false" ht="15" hidden="false" customHeight="false" outlineLevel="0" collapsed="false">
      <c r="A87" s="4" t="s">
        <v>112</v>
      </c>
      <c r="B87" s="4" t="s">
        <v>29</v>
      </c>
      <c r="C87" s="5" t="n">
        <v>4</v>
      </c>
      <c r="D87" s="5" t="n">
        <v>2118760</v>
      </c>
      <c r="E87" s="5" t="n">
        <v>381555</v>
      </c>
      <c r="F87" s="5" t="n">
        <v>922488</v>
      </c>
      <c r="G87" s="5" t="n">
        <v>471735</v>
      </c>
      <c r="H87" s="5" t="n">
        <v>92565</v>
      </c>
      <c r="I87" s="5" t="n">
        <v>61167</v>
      </c>
      <c r="J87" s="5" t="n">
        <v>139110</v>
      </c>
      <c r="K87" s="5" t="n">
        <v>47124</v>
      </c>
      <c r="L87" s="5" t="n">
        <v>2668</v>
      </c>
      <c r="M87" s="5" t="n">
        <v>348</v>
      </c>
      <c r="N87" s="5" t="n">
        <v>1159295</v>
      </c>
    </row>
    <row r="88" customFormat="false" ht="15" hidden="false" customHeight="false" outlineLevel="0" collapsed="false">
      <c r="A88" s="4" t="s">
        <v>113</v>
      </c>
      <c r="B88" s="4" t="s">
        <v>27</v>
      </c>
      <c r="C88" s="5" t="n">
        <v>12</v>
      </c>
      <c r="D88" s="5" t="n">
        <v>2118760</v>
      </c>
      <c r="E88" s="5" t="n">
        <v>417780</v>
      </c>
      <c r="F88" s="5" t="n">
        <v>974592</v>
      </c>
      <c r="G88" s="5" t="n">
        <v>482790</v>
      </c>
      <c r="H88" s="5" t="n">
        <v>94380</v>
      </c>
      <c r="I88" s="5" t="n">
        <v>57648</v>
      </c>
      <c r="J88" s="5" t="n">
        <v>41474</v>
      </c>
      <c r="K88" s="5" t="n">
        <v>47124</v>
      </c>
      <c r="L88" s="5" t="n">
        <v>2668</v>
      </c>
      <c r="M88" s="5" t="n">
        <v>304</v>
      </c>
      <c r="N88" s="5" t="n">
        <v>1080278</v>
      </c>
    </row>
    <row r="89" customFormat="false" ht="15" hidden="false" customHeight="false" outlineLevel="0" collapsed="false">
      <c r="A89" s="4" t="s">
        <v>114</v>
      </c>
      <c r="B89" s="4" t="s">
        <v>29</v>
      </c>
      <c r="C89" s="5" t="n">
        <v>4</v>
      </c>
      <c r="D89" s="5" t="n">
        <v>2118760</v>
      </c>
      <c r="E89" s="5" t="n">
        <v>386130</v>
      </c>
      <c r="F89" s="5" t="n">
        <v>925344</v>
      </c>
      <c r="G89" s="5" t="n">
        <v>471735</v>
      </c>
      <c r="H89" s="5" t="n">
        <v>92565</v>
      </c>
      <c r="I89" s="5" t="n">
        <v>53736</v>
      </c>
      <c r="J89" s="5" t="n">
        <v>139154</v>
      </c>
      <c r="K89" s="5" t="n">
        <v>47124</v>
      </c>
      <c r="L89" s="5" t="n">
        <v>2668</v>
      </c>
      <c r="M89" s="5" t="n">
        <v>304</v>
      </c>
      <c r="N89" s="5" t="n">
        <v>1153121</v>
      </c>
    </row>
    <row r="90" customFormat="false" ht="15" hidden="false" customHeight="false" outlineLevel="0" collapsed="false">
      <c r="A90" s="4" t="s">
        <v>115</v>
      </c>
      <c r="B90" s="4" t="s">
        <v>16</v>
      </c>
      <c r="C90" s="5" t="n">
        <v>6</v>
      </c>
      <c r="D90" s="5" t="n">
        <v>2118760</v>
      </c>
      <c r="E90" s="5" t="n">
        <v>0</v>
      </c>
      <c r="F90" s="5" t="n">
        <v>744480</v>
      </c>
      <c r="G90" s="5" t="n">
        <v>835920</v>
      </c>
      <c r="H90" s="5" t="n">
        <v>247940</v>
      </c>
      <c r="I90" s="5" t="n">
        <v>49690</v>
      </c>
      <c r="J90" s="5" t="n">
        <v>41298</v>
      </c>
      <c r="K90" s="5" t="n">
        <v>181104</v>
      </c>
      <c r="L90" s="5" t="n">
        <v>17848</v>
      </c>
      <c r="M90" s="5" t="n">
        <v>480</v>
      </c>
      <c r="N90" s="5" t="n">
        <v>2008432</v>
      </c>
    </row>
    <row r="91" customFormat="false" ht="15" hidden="false" customHeight="false" outlineLevel="0" collapsed="false">
      <c r="A91" s="4" t="s">
        <v>116</v>
      </c>
      <c r="B91" s="4" t="s">
        <v>27</v>
      </c>
      <c r="C91" s="5" t="n">
        <v>12</v>
      </c>
      <c r="D91" s="5" t="n">
        <v>2118760</v>
      </c>
      <c r="E91" s="5" t="n">
        <v>364320</v>
      </c>
      <c r="F91" s="5" t="n">
        <v>905408</v>
      </c>
      <c r="G91" s="5" t="n">
        <v>471950</v>
      </c>
      <c r="H91" s="5" t="n">
        <v>92092</v>
      </c>
      <c r="I91" s="5" t="n">
        <v>193420</v>
      </c>
      <c r="J91" s="5" t="n">
        <v>41299</v>
      </c>
      <c r="K91" s="5" t="n">
        <v>47124</v>
      </c>
      <c r="L91" s="5" t="n">
        <v>2668</v>
      </c>
      <c r="M91" s="5" t="n">
        <v>479</v>
      </c>
      <c r="N91" s="5" t="n">
        <v>1171757</v>
      </c>
    </row>
    <row r="92" customFormat="false" ht="15" hidden="false" customHeight="false" outlineLevel="0" collapsed="false">
      <c r="A92" s="4" t="s">
        <v>117</v>
      </c>
      <c r="B92" s="4" t="s">
        <v>29</v>
      </c>
      <c r="C92" s="5" t="n">
        <v>4</v>
      </c>
      <c r="D92" s="5" t="n">
        <v>2118760</v>
      </c>
      <c r="E92" s="5" t="n">
        <v>336720</v>
      </c>
      <c r="F92" s="5" t="n">
        <v>859656</v>
      </c>
      <c r="G92" s="5" t="n">
        <v>461163</v>
      </c>
      <c r="H92" s="5" t="n">
        <v>90321</v>
      </c>
      <c r="I92" s="5" t="n">
        <v>181650</v>
      </c>
      <c r="J92" s="5" t="n">
        <v>135239</v>
      </c>
      <c r="K92" s="5" t="n">
        <v>47124</v>
      </c>
      <c r="L92" s="5" t="n">
        <v>2668</v>
      </c>
      <c r="M92" s="5" t="n">
        <v>4219</v>
      </c>
      <c r="N92" s="5" t="n">
        <v>1237877</v>
      </c>
    </row>
    <row r="93" customFormat="false" ht="15" hidden="false" customHeight="false" outlineLevel="0" collapsed="false">
      <c r="A93" s="4" t="s">
        <v>118</v>
      </c>
      <c r="B93" s="4" t="s">
        <v>27</v>
      </c>
      <c r="C93" s="5" t="n">
        <v>12</v>
      </c>
      <c r="D93" s="5" t="n">
        <v>2118760</v>
      </c>
      <c r="E93" s="5" t="n">
        <v>374220</v>
      </c>
      <c r="F93" s="5" t="n">
        <v>920448</v>
      </c>
      <c r="G93" s="5" t="n">
        <v>474660</v>
      </c>
      <c r="H93" s="5" t="n">
        <v>92664</v>
      </c>
      <c r="I93" s="5" t="n">
        <v>165198</v>
      </c>
      <c r="J93" s="5" t="n">
        <v>41299</v>
      </c>
      <c r="K93" s="5" t="n">
        <v>47124</v>
      </c>
      <c r="L93" s="5" t="n">
        <v>2668</v>
      </c>
      <c r="M93" s="5" t="n">
        <v>479</v>
      </c>
      <c r="N93" s="5" t="n">
        <v>1153735</v>
      </c>
    </row>
    <row r="94" customFormat="false" ht="15" hidden="false" customHeight="false" outlineLevel="0" collapsed="false">
      <c r="A94" s="4" t="s">
        <v>119</v>
      </c>
      <c r="B94" s="4" t="s">
        <v>29</v>
      </c>
      <c r="C94" s="5" t="n">
        <v>4</v>
      </c>
      <c r="D94" s="5" t="n">
        <v>2118760</v>
      </c>
      <c r="E94" s="5" t="n">
        <v>345870</v>
      </c>
      <c r="F94" s="5" t="n">
        <v>873936</v>
      </c>
      <c r="G94" s="5" t="n">
        <v>463806</v>
      </c>
      <c r="H94" s="5" t="n">
        <v>90882</v>
      </c>
      <c r="I94" s="5" t="n">
        <v>155016</v>
      </c>
      <c r="J94" s="5" t="n">
        <v>136185</v>
      </c>
      <c r="K94" s="5" t="n">
        <v>47124</v>
      </c>
      <c r="L94" s="5" t="n">
        <v>2668</v>
      </c>
      <c r="M94" s="5" t="n">
        <v>3273</v>
      </c>
      <c r="N94" s="5" t="n">
        <v>1221137</v>
      </c>
    </row>
    <row r="95" customFormat="false" ht="15" hidden="false" customHeight="false" outlineLevel="0" collapsed="false">
      <c r="A95" s="4" t="s">
        <v>120</v>
      </c>
      <c r="B95" s="4" t="s">
        <v>27</v>
      </c>
      <c r="C95" s="5" t="n">
        <v>12</v>
      </c>
      <c r="D95" s="5" t="n">
        <v>2118760</v>
      </c>
      <c r="E95" s="5" t="n">
        <v>384120</v>
      </c>
      <c r="F95" s="5" t="n">
        <v>935488</v>
      </c>
      <c r="G95" s="5" t="n">
        <v>477370</v>
      </c>
      <c r="H95" s="5" t="n">
        <v>93236</v>
      </c>
      <c r="I95" s="5" t="n">
        <v>136976</v>
      </c>
      <c r="J95" s="5" t="n">
        <v>41299</v>
      </c>
      <c r="K95" s="5" t="n">
        <v>47124</v>
      </c>
      <c r="L95" s="5" t="n">
        <v>2668</v>
      </c>
      <c r="M95" s="5" t="n">
        <v>479</v>
      </c>
      <c r="N95" s="5" t="n">
        <v>1135713</v>
      </c>
    </row>
    <row r="96" customFormat="false" ht="15" hidden="false" customHeight="false" outlineLevel="0" collapsed="false">
      <c r="A96" s="4" t="s">
        <v>121</v>
      </c>
      <c r="B96" s="4" t="s">
        <v>29</v>
      </c>
      <c r="C96" s="5" t="n">
        <v>4</v>
      </c>
      <c r="D96" s="5" t="n">
        <v>2118760</v>
      </c>
      <c r="E96" s="5" t="n">
        <v>355020</v>
      </c>
      <c r="F96" s="5" t="n">
        <v>888216</v>
      </c>
      <c r="G96" s="5" t="n">
        <v>466449</v>
      </c>
      <c r="H96" s="5" t="n">
        <v>91443</v>
      </c>
      <c r="I96" s="5" t="n">
        <v>128382</v>
      </c>
      <c r="J96" s="5" t="n">
        <v>137131</v>
      </c>
      <c r="K96" s="5" t="n">
        <v>47124</v>
      </c>
      <c r="L96" s="5" t="n">
        <v>2668</v>
      </c>
      <c r="M96" s="5" t="n">
        <v>2327</v>
      </c>
      <c r="N96" s="5" t="n">
        <v>1204397</v>
      </c>
    </row>
    <row r="97" customFormat="false" ht="15" hidden="false" customHeight="false" outlineLevel="0" collapsed="false">
      <c r="A97" s="4" t="s">
        <v>122</v>
      </c>
      <c r="B97" s="4" t="s">
        <v>27</v>
      </c>
      <c r="C97" s="5" t="n">
        <v>12</v>
      </c>
      <c r="D97" s="5" t="n">
        <v>2118760</v>
      </c>
      <c r="E97" s="5" t="n">
        <v>394020</v>
      </c>
      <c r="F97" s="5" t="n">
        <v>950528</v>
      </c>
      <c r="G97" s="5" t="n">
        <v>480080</v>
      </c>
      <c r="H97" s="5" t="n">
        <v>93808</v>
      </c>
      <c r="I97" s="5" t="n">
        <v>108754</v>
      </c>
      <c r="J97" s="5" t="n">
        <v>41299</v>
      </c>
      <c r="K97" s="5" t="n">
        <v>47124</v>
      </c>
      <c r="L97" s="5" t="n">
        <v>2668</v>
      </c>
      <c r="M97" s="5" t="n">
        <v>479</v>
      </c>
      <c r="N97" s="5" t="n">
        <v>1117691</v>
      </c>
    </row>
    <row r="98" customFormat="false" ht="15" hidden="false" customHeight="false" outlineLevel="0" collapsed="false">
      <c r="A98" s="4" t="s">
        <v>123</v>
      </c>
      <c r="B98" s="4" t="s">
        <v>29</v>
      </c>
      <c r="C98" s="5" t="n">
        <v>4</v>
      </c>
      <c r="D98" s="5" t="n">
        <v>2118760</v>
      </c>
      <c r="E98" s="5" t="n">
        <v>364170</v>
      </c>
      <c r="F98" s="5" t="n">
        <v>902496</v>
      </c>
      <c r="G98" s="5" t="n">
        <v>469092</v>
      </c>
      <c r="H98" s="5" t="n">
        <v>92004</v>
      </c>
      <c r="I98" s="5" t="n">
        <v>101748</v>
      </c>
      <c r="J98" s="5" t="n">
        <v>138077</v>
      </c>
      <c r="K98" s="5" t="n">
        <v>47124</v>
      </c>
      <c r="L98" s="5" t="n">
        <v>2668</v>
      </c>
      <c r="M98" s="5" t="n">
        <v>1381</v>
      </c>
      <c r="N98" s="5" t="n">
        <v>1187657</v>
      </c>
    </row>
    <row r="99" customFormat="false" ht="15" hidden="false" customHeight="false" outlineLevel="0" collapsed="false">
      <c r="A99" s="4" t="s">
        <v>124</v>
      </c>
      <c r="B99" s="4" t="s">
        <v>27</v>
      </c>
      <c r="C99" s="5" t="n">
        <v>12</v>
      </c>
      <c r="D99" s="5" t="n">
        <v>2118760</v>
      </c>
      <c r="E99" s="5" t="n">
        <v>402930</v>
      </c>
      <c r="F99" s="5" t="n">
        <v>965568</v>
      </c>
      <c r="G99" s="5" t="n">
        <v>482790</v>
      </c>
      <c r="H99" s="5" t="n">
        <v>94380</v>
      </c>
      <c r="I99" s="5" t="n">
        <v>81522</v>
      </c>
      <c r="J99" s="5" t="n">
        <v>41298</v>
      </c>
      <c r="K99" s="5" t="n">
        <v>47124</v>
      </c>
      <c r="L99" s="5" t="n">
        <v>2668</v>
      </c>
      <c r="M99" s="5" t="n">
        <v>480</v>
      </c>
      <c r="N99" s="5" t="n">
        <v>1100660</v>
      </c>
    </row>
    <row r="100" customFormat="false" ht="15" hidden="false" customHeight="false" outlineLevel="0" collapsed="false">
      <c r="A100" s="4" t="s">
        <v>125</v>
      </c>
      <c r="B100" s="4" t="s">
        <v>29</v>
      </c>
      <c r="C100" s="5" t="n">
        <v>4</v>
      </c>
      <c r="D100" s="5" t="n">
        <v>2118760</v>
      </c>
      <c r="E100" s="5" t="n">
        <v>372405</v>
      </c>
      <c r="F100" s="5" t="n">
        <v>916776</v>
      </c>
      <c r="G100" s="5" t="n">
        <v>471735</v>
      </c>
      <c r="H100" s="5" t="n">
        <v>92565</v>
      </c>
      <c r="I100" s="5" t="n">
        <v>76029</v>
      </c>
      <c r="J100" s="5" t="n">
        <v>139022</v>
      </c>
      <c r="K100" s="5" t="n">
        <v>47124</v>
      </c>
      <c r="L100" s="5" t="n">
        <v>2668</v>
      </c>
      <c r="M100" s="5" t="n">
        <v>436</v>
      </c>
      <c r="N100" s="5" t="n">
        <v>1171833</v>
      </c>
    </row>
    <row r="101" customFormat="false" ht="15" hidden="false" customHeight="false" outlineLevel="0" collapsed="false">
      <c r="A101" s="4" t="s">
        <v>126</v>
      </c>
      <c r="B101" s="4" t="s">
        <v>27</v>
      </c>
      <c r="C101" s="5" t="n">
        <v>12</v>
      </c>
      <c r="D101" s="5" t="n">
        <v>2118760</v>
      </c>
      <c r="E101" s="5" t="n">
        <v>402930</v>
      </c>
      <c r="F101" s="5" t="n">
        <v>965568</v>
      </c>
      <c r="G101" s="5" t="n">
        <v>482790</v>
      </c>
      <c r="H101" s="5" t="n">
        <v>94380</v>
      </c>
      <c r="I101" s="5" t="n">
        <v>81522</v>
      </c>
      <c r="J101" s="5" t="n">
        <v>41342</v>
      </c>
      <c r="K101" s="5" t="n">
        <v>47124</v>
      </c>
      <c r="L101" s="5" t="n">
        <v>2668</v>
      </c>
      <c r="M101" s="5" t="n">
        <v>436</v>
      </c>
      <c r="N101" s="5" t="n">
        <v>1100411</v>
      </c>
    </row>
    <row r="102" customFormat="false" ht="15" hidden="false" customHeight="false" outlineLevel="0" collapsed="false">
      <c r="A102" s="4" t="s">
        <v>127</v>
      </c>
      <c r="B102" s="4" t="s">
        <v>29</v>
      </c>
      <c r="C102" s="5" t="n">
        <v>4</v>
      </c>
      <c r="D102" s="5" t="n">
        <v>2118760</v>
      </c>
      <c r="E102" s="5" t="n">
        <v>372405</v>
      </c>
      <c r="F102" s="5" t="n">
        <v>916776</v>
      </c>
      <c r="G102" s="5" t="n">
        <v>471735</v>
      </c>
      <c r="H102" s="5" t="n">
        <v>92565</v>
      </c>
      <c r="I102" s="5" t="n">
        <v>76029</v>
      </c>
      <c r="J102" s="5" t="n">
        <v>139022</v>
      </c>
      <c r="K102" s="5" t="n">
        <v>47124</v>
      </c>
      <c r="L102" s="5" t="n">
        <v>2668</v>
      </c>
      <c r="M102" s="5" t="n">
        <v>436</v>
      </c>
      <c r="N102" s="5" t="n">
        <v>1171643</v>
      </c>
    </row>
    <row r="103" customFormat="false" ht="15" hidden="false" customHeight="false" outlineLevel="0" collapsed="false">
      <c r="A103" s="4" t="s">
        <v>128</v>
      </c>
      <c r="B103" s="4" t="s">
        <v>27</v>
      </c>
      <c r="C103" s="5" t="n">
        <v>12</v>
      </c>
      <c r="D103" s="5" t="n">
        <v>2118760</v>
      </c>
      <c r="E103" s="5" t="n">
        <v>407880</v>
      </c>
      <c r="F103" s="5" t="n">
        <v>968576</v>
      </c>
      <c r="G103" s="5" t="n">
        <v>482790</v>
      </c>
      <c r="H103" s="5" t="n">
        <v>94380</v>
      </c>
      <c r="I103" s="5" t="n">
        <v>73564</v>
      </c>
      <c r="J103" s="5" t="n">
        <v>41386</v>
      </c>
      <c r="K103" s="5" t="n">
        <v>47124</v>
      </c>
      <c r="L103" s="5" t="n">
        <v>2668</v>
      </c>
      <c r="M103" s="5" t="n">
        <v>392</v>
      </c>
      <c r="N103" s="5" t="n">
        <v>1093700</v>
      </c>
    </row>
    <row r="104" customFormat="false" ht="15" hidden="false" customHeight="false" outlineLevel="0" collapsed="false">
      <c r="A104" s="4" t="s">
        <v>129</v>
      </c>
      <c r="B104" s="4" t="s">
        <v>29</v>
      </c>
      <c r="C104" s="5" t="n">
        <v>4</v>
      </c>
      <c r="D104" s="5" t="n">
        <v>2118760</v>
      </c>
      <c r="E104" s="5" t="n">
        <v>376980</v>
      </c>
      <c r="F104" s="5" t="n">
        <v>919632</v>
      </c>
      <c r="G104" s="5" t="n">
        <v>471735</v>
      </c>
      <c r="H104" s="5" t="n">
        <v>92565</v>
      </c>
      <c r="I104" s="5" t="n">
        <v>68598</v>
      </c>
      <c r="J104" s="5" t="n">
        <v>139066</v>
      </c>
      <c r="K104" s="5" t="n">
        <v>47124</v>
      </c>
      <c r="L104" s="5" t="n">
        <v>2668</v>
      </c>
      <c r="M104" s="5" t="n">
        <v>392</v>
      </c>
      <c r="N104" s="5" t="n">
        <v>1165469</v>
      </c>
    </row>
    <row r="105" customFormat="false" ht="15" hidden="false" customHeight="false" outlineLevel="0" collapsed="false">
      <c r="A105" s="4" t="s">
        <v>130</v>
      </c>
      <c r="B105" s="4" t="s">
        <v>27</v>
      </c>
      <c r="C105" s="5" t="n">
        <v>12</v>
      </c>
      <c r="D105" s="5" t="n">
        <v>2118760</v>
      </c>
      <c r="E105" s="5" t="n">
        <v>412830</v>
      </c>
      <c r="F105" s="5" t="n">
        <v>971584</v>
      </c>
      <c r="G105" s="5" t="n">
        <v>482790</v>
      </c>
      <c r="H105" s="5" t="n">
        <v>94380</v>
      </c>
      <c r="I105" s="5" t="n">
        <v>65606</v>
      </c>
      <c r="J105" s="5" t="n">
        <v>41430</v>
      </c>
      <c r="K105" s="5" t="n">
        <v>47124</v>
      </c>
      <c r="L105" s="5" t="n">
        <v>2668</v>
      </c>
      <c r="M105" s="5" t="n">
        <v>348</v>
      </c>
      <c r="N105" s="5" t="n">
        <v>1086989</v>
      </c>
    </row>
    <row r="106" customFormat="false" ht="15" hidden="false" customHeight="false" outlineLevel="0" collapsed="false">
      <c r="A106" s="4" t="s">
        <v>131</v>
      </c>
      <c r="B106" s="4" t="s">
        <v>29</v>
      </c>
      <c r="C106" s="5" t="n">
        <v>4</v>
      </c>
      <c r="D106" s="5" t="n">
        <v>2118760</v>
      </c>
      <c r="E106" s="5" t="n">
        <v>381555</v>
      </c>
      <c r="F106" s="5" t="n">
        <v>922488</v>
      </c>
      <c r="G106" s="5" t="n">
        <v>471735</v>
      </c>
      <c r="H106" s="5" t="n">
        <v>92565</v>
      </c>
      <c r="I106" s="5" t="n">
        <v>61167</v>
      </c>
      <c r="J106" s="5" t="n">
        <v>139110</v>
      </c>
      <c r="K106" s="5" t="n">
        <v>47124</v>
      </c>
      <c r="L106" s="5" t="n">
        <v>2668</v>
      </c>
      <c r="M106" s="5" t="n">
        <v>348</v>
      </c>
      <c r="N106" s="5" t="n">
        <v>1159295</v>
      </c>
    </row>
    <row r="107" customFormat="false" ht="15" hidden="false" customHeight="false" outlineLevel="0" collapsed="false">
      <c r="A107" s="4" t="s">
        <v>132</v>
      </c>
      <c r="B107" s="4" t="s">
        <v>16</v>
      </c>
      <c r="C107" s="5" t="n">
        <v>6</v>
      </c>
      <c r="D107" s="5" t="n">
        <v>2118760</v>
      </c>
      <c r="E107" s="5" t="n">
        <v>0</v>
      </c>
      <c r="F107" s="5" t="n">
        <v>745470</v>
      </c>
      <c r="G107" s="5" t="n">
        <v>835920</v>
      </c>
      <c r="H107" s="5" t="n">
        <v>247940</v>
      </c>
      <c r="I107" s="5" t="n">
        <v>48700</v>
      </c>
      <c r="J107" s="5" t="n">
        <v>41300</v>
      </c>
      <c r="K107" s="5" t="n">
        <v>181104</v>
      </c>
      <c r="L107" s="5" t="n">
        <v>17848</v>
      </c>
      <c r="M107" s="5" t="n">
        <v>478</v>
      </c>
      <c r="N107" s="5" t="n">
        <v>2008430</v>
      </c>
    </row>
    <row r="108" customFormat="false" ht="15" hidden="false" customHeight="false" outlineLevel="0" collapsed="false">
      <c r="A108" s="4" t="s">
        <v>133</v>
      </c>
      <c r="B108" s="4" t="s">
        <v>27</v>
      </c>
      <c r="C108" s="5" t="n">
        <v>12</v>
      </c>
      <c r="D108" s="5" t="n">
        <v>2118760</v>
      </c>
      <c r="E108" s="5" t="n">
        <v>365310</v>
      </c>
      <c r="F108" s="5" t="n">
        <v>905408</v>
      </c>
      <c r="G108" s="5" t="n">
        <v>471950</v>
      </c>
      <c r="H108" s="5" t="n">
        <v>92092</v>
      </c>
      <c r="I108" s="5" t="n">
        <v>192430</v>
      </c>
      <c r="J108" s="5" t="n">
        <v>41300</v>
      </c>
      <c r="K108" s="5" t="n">
        <v>47124</v>
      </c>
      <c r="L108" s="5" t="n">
        <v>2668</v>
      </c>
      <c r="M108" s="5" t="n">
        <v>478</v>
      </c>
      <c r="N108" s="5" t="n">
        <v>1170766</v>
      </c>
    </row>
    <row r="109" customFormat="false" ht="15" hidden="false" customHeight="false" outlineLevel="0" collapsed="false">
      <c r="A109" s="4" t="s">
        <v>134</v>
      </c>
      <c r="B109" s="4" t="s">
        <v>29</v>
      </c>
      <c r="C109" s="5" t="n">
        <v>4</v>
      </c>
      <c r="D109" s="5" t="n">
        <v>2118760</v>
      </c>
      <c r="E109" s="5" t="n">
        <v>337635</v>
      </c>
      <c r="F109" s="5" t="n">
        <v>859656</v>
      </c>
      <c r="G109" s="5" t="n">
        <v>461163</v>
      </c>
      <c r="H109" s="5" t="n">
        <v>90321</v>
      </c>
      <c r="I109" s="5" t="n">
        <v>180735</v>
      </c>
      <c r="J109" s="5" t="n">
        <v>135240</v>
      </c>
      <c r="K109" s="5" t="n">
        <v>47124</v>
      </c>
      <c r="L109" s="5" t="n">
        <v>2668</v>
      </c>
      <c r="M109" s="5" t="n">
        <v>4218</v>
      </c>
      <c r="N109" s="5" t="n">
        <v>1236961</v>
      </c>
    </row>
    <row r="110" customFormat="false" ht="15" hidden="false" customHeight="false" outlineLevel="0" collapsed="false">
      <c r="A110" s="4" t="s">
        <v>135</v>
      </c>
      <c r="B110" s="4" t="s">
        <v>27</v>
      </c>
      <c r="C110" s="5" t="n">
        <v>12</v>
      </c>
      <c r="D110" s="5" t="n">
        <v>2118760</v>
      </c>
      <c r="E110" s="5" t="n">
        <v>375210</v>
      </c>
      <c r="F110" s="5" t="n">
        <v>920448</v>
      </c>
      <c r="G110" s="5" t="n">
        <v>474660</v>
      </c>
      <c r="H110" s="5" t="n">
        <v>92664</v>
      </c>
      <c r="I110" s="5" t="n">
        <v>164208</v>
      </c>
      <c r="J110" s="5" t="n">
        <v>41300</v>
      </c>
      <c r="K110" s="5" t="n">
        <v>47124</v>
      </c>
      <c r="L110" s="5" t="n">
        <v>2668</v>
      </c>
      <c r="M110" s="5" t="n">
        <v>478</v>
      </c>
      <c r="N110" s="5" t="n">
        <v>1152744</v>
      </c>
    </row>
    <row r="111" customFormat="false" ht="15" hidden="false" customHeight="false" outlineLevel="0" collapsed="false">
      <c r="A111" s="4" t="s">
        <v>136</v>
      </c>
      <c r="B111" s="4" t="s">
        <v>29</v>
      </c>
      <c r="C111" s="5" t="n">
        <v>4</v>
      </c>
      <c r="D111" s="5" t="n">
        <v>2118760</v>
      </c>
      <c r="E111" s="5" t="n">
        <v>346785</v>
      </c>
      <c r="F111" s="5" t="n">
        <v>873936</v>
      </c>
      <c r="G111" s="5" t="n">
        <v>463806</v>
      </c>
      <c r="H111" s="5" t="n">
        <v>90882</v>
      </c>
      <c r="I111" s="5" t="n">
        <v>154101</v>
      </c>
      <c r="J111" s="5" t="n">
        <v>136186</v>
      </c>
      <c r="K111" s="5" t="n">
        <v>47124</v>
      </c>
      <c r="L111" s="5" t="n">
        <v>2668</v>
      </c>
      <c r="M111" s="5" t="n">
        <v>3272</v>
      </c>
      <c r="N111" s="5" t="n">
        <v>1220221</v>
      </c>
    </row>
    <row r="112" customFormat="false" ht="15" hidden="false" customHeight="false" outlineLevel="0" collapsed="false">
      <c r="A112" s="4" t="s">
        <v>137</v>
      </c>
      <c r="B112" s="4" t="s">
        <v>27</v>
      </c>
      <c r="C112" s="5" t="n">
        <v>12</v>
      </c>
      <c r="D112" s="5" t="n">
        <v>2118760</v>
      </c>
      <c r="E112" s="5" t="n">
        <v>385110</v>
      </c>
      <c r="F112" s="5" t="n">
        <v>935488</v>
      </c>
      <c r="G112" s="5" t="n">
        <v>477370</v>
      </c>
      <c r="H112" s="5" t="n">
        <v>93236</v>
      </c>
      <c r="I112" s="5" t="n">
        <v>135986</v>
      </c>
      <c r="J112" s="5" t="n">
        <v>41300</v>
      </c>
      <c r="K112" s="5" t="n">
        <v>47124</v>
      </c>
      <c r="L112" s="5" t="n">
        <v>2668</v>
      </c>
      <c r="M112" s="5" t="n">
        <v>478</v>
      </c>
      <c r="N112" s="5" t="n">
        <v>1134722</v>
      </c>
    </row>
    <row r="113" customFormat="false" ht="15" hidden="false" customHeight="false" outlineLevel="0" collapsed="false">
      <c r="A113" s="4" t="s">
        <v>138</v>
      </c>
      <c r="B113" s="4" t="s">
        <v>29</v>
      </c>
      <c r="C113" s="5" t="n">
        <v>4</v>
      </c>
      <c r="D113" s="5" t="n">
        <v>2118760</v>
      </c>
      <c r="E113" s="5" t="n">
        <v>355935</v>
      </c>
      <c r="F113" s="5" t="n">
        <v>888216</v>
      </c>
      <c r="G113" s="5" t="n">
        <v>466449</v>
      </c>
      <c r="H113" s="5" t="n">
        <v>91443</v>
      </c>
      <c r="I113" s="5" t="n">
        <v>127467</v>
      </c>
      <c r="J113" s="5" t="n">
        <v>137132</v>
      </c>
      <c r="K113" s="5" t="n">
        <v>47124</v>
      </c>
      <c r="L113" s="5" t="n">
        <v>2668</v>
      </c>
      <c r="M113" s="5" t="n">
        <v>2326</v>
      </c>
      <c r="N113" s="5" t="n">
        <v>1203481</v>
      </c>
    </row>
    <row r="114" customFormat="false" ht="15" hidden="false" customHeight="false" outlineLevel="0" collapsed="false">
      <c r="A114" s="4" t="s">
        <v>139</v>
      </c>
      <c r="B114" s="4" t="s">
        <v>27</v>
      </c>
      <c r="C114" s="5" t="n">
        <v>12</v>
      </c>
      <c r="D114" s="5" t="n">
        <v>2118760</v>
      </c>
      <c r="E114" s="5" t="n">
        <v>394020</v>
      </c>
      <c r="F114" s="5" t="n">
        <v>950528</v>
      </c>
      <c r="G114" s="5" t="n">
        <v>480080</v>
      </c>
      <c r="H114" s="5" t="n">
        <v>93808</v>
      </c>
      <c r="I114" s="5" t="n">
        <v>108754</v>
      </c>
      <c r="J114" s="5" t="n">
        <v>41299</v>
      </c>
      <c r="K114" s="5" t="n">
        <v>47124</v>
      </c>
      <c r="L114" s="5" t="n">
        <v>2668</v>
      </c>
      <c r="M114" s="5" t="n">
        <v>479</v>
      </c>
      <c r="N114" s="5" t="n">
        <v>1117691</v>
      </c>
    </row>
    <row r="115" customFormat="false" ht="15" hidden="false" customHeight="false" outlineLevel="0" collapsed="false">
      <c r="A115" s="4" t="s">
        <v>140</v>
      </c>
      <c r="B115" s="4" t="s">
        <v>29</v>
      </c>
      <c r="C115" s="5" t="n">
        <v>4</v>
      </c>
      <c r="D115" s="5" t="n">
        <v>2118760</v>
      </c>
      <c r="E115" s="5" t="n">
        <v>364170</v>
      </c>
      <c r="F115" s="5" t="n">
        <v>902496</v>
      </c>
      <c r="G115" s="5" t="n">
        <v>469092</v>
      </c>
      <c r="H115" s="5" t="n">
        <v>92004</v>
      </c>
      <c r="I115" s="5" t="n">
        <v>101748</v>
      </c>
      <c r="J115" s="5" t="n">
        <v>138077</v>
      </c>
      <c r="K115" s="5" t="n">
        <v>47124</v>
      </c>
      <c r="L115" s="5" t="n">
        <v>2668</v>
      </c>
      <c r="M115" s="5" t="n">
        <v>1381</v>
      </c>
      <c r="N115" s="5" t="n">
        <v>1187657</v>
      </c>
    </row>
    <row r="116" customFormat="false" ht="15" hidden="false" customHeight="false" outlineLevel="0" collapsed="false">
      <c r="A116" s="4" t="s">
        <v>141</v>
      </c>
      <c r="B116" s="4" t="s">
        <v>27</v>
      </c>
      <c r="C116" s="5" t="n">
        <v>12</v>
      </c>
      <c r="D116" s="5" t="n">
        <v>2118760</v>
      </c>
      <c r="E116" s="5" t="n">
        <v>408870</v>
      </c>
      <c r="F116" s="5" t="n">
        <v>968576</v>
      </c>
      <c r="G116" s="5" t="n">
        <v>482790</v>
      </c>
      <c r="H116" s="5" t="n">
        <v>94380</v>
      </c>
      <c r="I116" s="5" t="n">
        <v>72574</v>
      </c>
      <c r="J116" s="5" t="n">
        <v>41343</v>
      </c>
      <c r="K116" s="5" t="n">
        <v>47124</v>
      </c>
      <c r="L116" s="5" t="n">
        <v>2668</v>
      </c>
      <c r="M116" s="5" t="n">
        <v>435</v>
      </c>
      <c r="N116" s="5" t="n">
        <v>1092958</v>
      </c>
    </row>
    <row r="117" customFormat="false" ht="15" hidden="false" customHeight="false" outlineLevel="0" collapsed="false">
      <c r="A117" s="4" t="s">
        <v>142</v>
      </c>
      <c r="B117" s="4" t="s">
        <v>29</v>
      </c>
      <c r="C117" s="5" t="n">
        <v>4</v>
      </c>
      <c r="D117" s="5" t="n">
        <v>2118760</v>
      </c>
      <c r="E117" s="5" t="n">
        <v>377895</v>
      </c>
      <c r="F117" s="5" t="n">
        <v>919632</v>
      </c>
      <c r="G117" s="5" t="n">
        <v>471735</v>
      </c>
      <c r="H117" s="5" t="n">
        <v>92565</v>
      </c>
      <c r="I117" s="5" t="n">
        <v>67683</v>
      </c>
      <c r="J117" s="5" t="n">
        <v>139067</v>
      </c>
      <c r="K117" s="5" t="n">
        <v>47124</v>
      </c>
      <c r="L117" s="5" t="n">
        <v>2668</v>
      </c>
      <c r="M117" s="5" t="n">
        <v>391</v>
      </c>
      <c r="N117" s="5" t="n">
        <v>1164743</v>
      </c>
    </row>
    <row r="118" customFormat="false" ht="15" hidden="false" customHeight="false" outlineLevel="0" collapsed="false">
      <c r="A118" s="4" t="s">
        <v>143</v>
      </c>
      <c r="B118" s="4" t="s">
        <v>27</v>
      </c>
      <c r="C118" s="5" t="n">
        <v>12</v>
      </c>
      <c r="D118" s="5" t="n">
        <v>2118760</v>
      </c>
      <c r="E118" s="5" t="n">
        <v>408870</v>
      </c>
      <c r="F118" s="5" t="n">
        <v>968576</v>
      </c>
      <c r="G118" s="5" t="n">
        <v>482790</v>
      </c>
      <c r="H118" s="5" t="n">
        <v>94380</v>
      </c>
      <c r="I118" s="5" t="n">
        <v>72574</v>
      </c>
      <c r="J118" s="5" t="n">
        <v>41387</v>
      </c>
      <c r="K118" s="5" t="n">
        <v>47124</v>
      </c>
      <c r="L118" s="5" t="n">
        <v>2668</v>
      </c>
      <c r="M118" s="5" t="n">
        <v>391</v>
      </c>
      <c r="N118" s="5" t="n">
        <v>1092709</v>
      </c>
    </row>
    <row r="119" customFormat="false" ht="15" hidden="false" customHeight="false" outlineLevel="0" collapsed="false">
      <c r="A119" s="4" t="s">
        <v>144</v>
      </c>
      <c r="B119" s="4" t="s">
        <v>29</v>
      </c>
      <c r="C119" s="5" t="n">
        <v>4</v>
      </c>
      <c r="D119" s="5" t="n">
        <v>2118760</v>
      </c>
      <c r="E119" s="5" t="n">
        <v>377895</v>
      </c>
      <c r="F119" s="5" t="n">
        <v>919632</v>
      </c>
      <c r="G119" s="5" t="n">
        <v>471735</v>
      </c>
      <c r="H119" s="5" t="n">
        <v>92565</v>
      </c>
      <c r="I119" s="5" t="n">
        <v>67683</v>
      </c>
      <c r="J119" s="5" t="n">
        <v>139067</v>
      </c>
      <c r="K119" s="5" t="n">
        <v>47124</v>
      </c>
      <c r="L119" s="5" t="n">
        <v>2668</v>
      </c>
      <c r="M119" s="5" t="n">
        <v>391</v>
      </c>
      <c r="N119" s="5" t="n">
        <v>1164553</v>
      </c>
    </row>
    <row r="120" customFormat="false" ht="15" hidden="false" customHeight="false" outlineLevel="0" collapsed="false">
      <c r="A120" s="4" t="s">
        <v>145</v>
      </c>
      <c r="B120" s="4" t="s">
        <v>27</v>
      </c>
      <c r="C120" s="5" t="n">
        <v>12</v>
      </c>
      <c r="D120" s="5" t="n">
        <v>2118760</v>
      </c>
      <c r="E120" s="5" t="n">
        <v>413820</v>
      </c>
      <c r="F120" s="5" t="n">
        <v>971584</v>
      </c>
      <c r="G120" s="5" t="n">
        <v>482790</v>
      </c>
      <c r="H120" s="5" t="n">
        <v>94380</v>
      </c>
      <c r="I120" s="5" t="n">
        <v>64616</v>
      </c>
      <c r="J120" s="5" t="n">
        <v>41431</v>
      </c>
      <c r="K120" s="5" t="n">
        <v>47124</v>
      </c>
      <c r="L120" s="5" t="n">
        <v>2668</v>
      </c>
      <c r="M120" s="5" t="n">
        <v>347</v>
      </c>
      <c r="N120" s="5" t="n">
        <v>1085998</v>
      </c>
    </row>
    <row r="121" customFormat="false" ht="15" hidden="false" customHeight="false" outlineLevel="0" collapsed="false">
      <c r="A121" s="4" t="s">
        <v>146</v>
      </c>
      <c r="B121" s="4" t="s">
        <v>29</v>
      </c>
      <c r="C121" s="5" t="n">
        <v>4</v>
      </c>
      <c r="D121" s="5" t="n">
        <v>2118760</v>
      </c>
      <c r="E121" s="5" t="n">
        <v>382470</v>
      </c>
      <c r="F121" s="5" t="n">
        <v>922488</v>
      </c>
      <c r="G121" s="5" t="n">
        <v>471735</v>
      </c>
      <c r="H121" s="5" t="n">
        <v>92565</v>
      </c>
      <c r="I121" s="5" t="n">
        <v>60252</v>
      </c>
      <c r="J121" s="5" t="n">
        <v>139111</v>
      </c>
      <c r="K121" s="5" t="n">
        <v>47124</v>
      </c>
      <c r="L121" s="5" t="n">
        <v>2668</v>
      </c>
      <c r="M121" s="5" t="n">
        <v>347</v>
      </c>
      <c r="N121" s="5" t="n">
        <v>1158379</v>
      </c>
    </row>
    <row r="122" customFormat="false" ht="15" hidden="false" customHeight="false" outlineLevel="0" collapsed="false">
      <c r="A122" s="4" t="s">
        <v>147</v>
      </c>
      <c r="B122" s="4" t="s">
        <v>16</v>
      </c>
      <c r="C122" s="5" t="n">
        <v>6</v>
      </c>
      <c r="D122" s="5" t="n">
        <v>2118760</v>
      </c>
      <c r="E122" s="5" t="n">
        <v>0</v>
      </c>
      <c r="F122" s="5" t="n">
        <v>745470</v>
      </c>
      <c r="G122" s="5" t="n">
        <v>835920</v>
      </c>
      <c r="H122" s="5" t="n">
        <v>247940</v>
      </c>
      <c r="I122" s="5" t="n">
        <v>48700</v>
      </c>
      <c r="J122" s="5" t="n">
        <v>41300</v>
      </c>
      <c r="K122" s="5" t="n">
        <v>181104</v>
      </c>
      <c r="L122" s="5" t="n">
        <v>17848</v>
      </c>
      <c r="M122" s="5" t="n">
        <v>478</v>
      </c>
      <c r="N122" s="5" t="n">
        <v>2008430</v>
      </c>
    </row>
    <row r="123" customFormat="false" ht="15" hidden="false" customHeight="false" outlineLevel="0" collapsed="false">
      <c r="A123" s="4" t="s">
        <v>148</v>
      </c>
      <c r="B123" s="4" t="s">
        <v>27</v>
      </c>
      <c r="C123" s="5" t="n">
        <v>12</v>
      </c>
      <c r="D123" s="5" t="n">
        <v>2118760</v>
      </c>
      <c r="E123" s="5" t="n">
        <v>365310</v>
      </c>
      <c r="F123" s="5" t="n">
        <v>905408</v>
      </c>
      <c r="G123" s="5" t="n">
        <v>471950</v>
      </c>
      <c r="H123" s="5" t="n">
        <v>92092</v>
      </c>
      <c r="I123" s="5" t="n">
        <v>192430</v>
      </c>
      <c r="J123" s="5" t="n">
        <v>41300</v>
      </c>
      <c r="K123" s="5" t="n">
        <v>47124</v>
      </c>
      <c r="L123" s="5" t="n">
        <v>2668</v>
      </c>
      <c r="M123" s="5" t="n">
        <v>478</v>
      </c>
      <c r="N123" s="5" t="n">
        <v>1170766</v>
      </c>
    </row>
    <row r="124" customFormat="false" ht="15" hidden="false" customHeight="false" outlineLevel="0" collapsed="false">
      <c r="A124" s="4" t="s">
        <v>149</v>
      </c>
      <c r="B124" s="4" t="s">
        <v>29</v>
      </c>
      <c r="C124" s="5" t="n">
        <v>4</v>
      </c>
      <c r="D124" s="5" t="n">
        <v>2118760</v>
      </c>
      <c r="E124" s="5" t="n">
        <v>337635</v>
      </c>
      <c r="F124" s="5" t="n">
        <v>859656</v>
      </c>
      <c r="G124" s="5" t="n">
        <v>461163</v>
      </c>
      <c r="H124" s="5" t="n">
        <v>90321</v>
      </c>
      <c r="I124" s="5" t="n">
        <v>180735</v>
      </c>
      <c r="J124" s="5" t="n">
        <v>135240</v>
      </c>
      <c r="K124" s="5" t="n">
        <v>47124</v>
      </c>
      <c r="L124" s="5" t="n">
        <v>2668</v>
      </c>
      <c r="M124" s="5" t="n">
        <v>4218</v>
      </c>
      <c r="N124" s="5" t="n">
        <v>1236961</v>
      </c>
    </row>
    <row r="125" customFormat="false" ht="15" hidden="false" customHeight="false" outlineLevel="0" collapsed="false">
      <c r="A125" s="4" t="s">
        <v>150</v>
      </c>
      <c r="B125" s="4" t="s">
        <v>27</v>
      </c>
      <c r="C125" s="5" t="n">
        <v>12</v>
      </c>
      <c r="D125" s="5" t="n">
        <v>2118760</v>
      </c>
      <c r="E125" s="5" t="n">
        <v>375210</v>
      </c>
      <c r="F125" s="5" t="n">
        <v>920448</v>
      </c>
      <c r="G125" s="5" t="n">
        <v>474660</v>
      </c>
      <c r="H125" s="5" t="n">
        <v>92664</v>
      </c>
      <c r="I125" s="5" t="n">
        <v>164208</v>
      </c>
      <c r="J125" s="5" t="n">
        <v>41300</v>
      </c>
      <c r="K125" s="5" t="n">
        <v>47124</v>
      </c>
      <c r="L125" s="5" t="n">
        <v>2668</v>
      </c>
      <c r="M125" s="5" t="n">
        <v>478</v>
      </c>
      <c r="N125" s="5" t="n">
        <v>1152744</v>
      </c>
    </row>
    <row r="126" customFormat="false" ht="15" hidden="false" customHeight="false" outlineLevel="0" collapsed="false">
      <c r="A126" s="4" t="s">
        <v>151</v>
      </c>
      <c r="B126" s="4" t="s">
        <v>29</v>
      </c>
      <c r="C126" s="5" t="n">
        <v>4</v>
      </c>
      <c r="D126" s="5" t="n">
        <v>2118760</v>
      </c>
      <c r="E126" s="5" t="n">
        <v>346785</v>
      </c>
      <c r="F126" s="5" t="n">
        <v>873936</v>
      </c>
      <c r="G126" s="5" t="n">
        <v>463806</v>
      </c>
      <c r="H126" s="5" t="n">
        <v>90882</v>
      </c>
      <c r="I126" s="5" t="n">
        <v>154101</v>
      </c>
      <c r="J126" s="5" t="n">
        <v>136186</v>
      </c>
      <c r="K126" s="5" t="n">
        <v>47124</v>
      </c>
      <c r="L126" s="5" t="n">
        <v>2668</v>
      </c>
      <c r="M126" s="5" t="n">
        <v>3272</v>
      </c>
      <c r="N126" s="5" t="n">
        <v>1220221</v>
      </c>
    </row>
    <row r="127" customFormat="false" ht="15" hidden="false" customHeight="false" outlineLevel="0" collapsed="false">
      <c r="A127" s="4" t="s">
        <v>152</v>
      </c>
      <c r="B127" s="4" t="s">
        <v>27</v>
      </c>
      <c r="C127" s="5" t="n">
        <v>12</v>
      </c>
      <c r="D127" s="5" t="n">
        <v>2118760</v>
      </c>
      <c r="E127" s="5" t="n">
        <v>384120</v>
      </c>
      <c r="F127" s="5" t="n">
        <v>935488</v>
      </c>
      <c r="G127" s="5" t="n">
        <v>477370</v>
      </c>
      <c r="H127" s="5" t="n">
        <v>93236</v>
      </c>
      <c r="I127" s="5" t="n">
        <v>136976</v>
      </c>
      <c r="J127" s="5" t="n">
        <v>41299</v>
      </c>
      <c r="K127" s="5" t="n">
        <v>47124</v>
      </c>
      <c r="L127" s="5" t="n">
        <v>2668</v>
      </c>
      <c r="M127" s="5" t="n">
        <v>479</v>
      </c>
      <c r="N127" s="5" t="n">
        <v>1135713</v>
      </c>
    </row>
    <row r="128" customFormat="false" ht="15" hidden="false" customHeight="false" outlineLevel="0" collapsed="false">
      <c r="A128" s="4" t="s">
        <v>153</v>
      </c>
      <c r="B128" s="4" t="s">
        <v>29</v>
      </c>
      <c r="C128" s="5" t="n">
        <v>4</v>
      </c>
      <c r="D128" s="5" t="n">
        <v>2118760</v>
      </c>
      <c r="E128" s="5" t="n">
        <v>355020</v>
      </c>
      <c r="F128" s="5" t="n">
        <v>888216</v>
      </c>
      <c r="G128" s="5" t="n">
        <v>466449</v>
      </c>
      <c r="H128" s="5" t="n">
        <v>91443</v>
      </c>
      <c r="I128" s="5" t="n">
        <v>128382</v>
      </c>
      <c r="J128" s="5" t="n">
        <v>137131</v>
      </c>
      <c r="K128" s="5" t="n">
        <v>47124</v>
      </c>
      <c r="L128" s="5" t="n">
        <v>2668</v>
      </c>
      <c r="M128" s="5" t="n">
        <v>2327</v>
      </c>
      <c r="N128" s="5" t="n">
        <v>1204397</v>
      </c>
    </row>
    <row r="129" customFormat="false" ht="15" hidden="false" customHeight="false" outlineLevel="0" collapsed="false">
      <c r="A129" s="4" t="s">
        <v>154</v>
      </c>
      <c r="B129" s="4" t="s">
        <v>27</v>
      </c>
      <c r="C129" s="5" t="n">
        <v>12</v>
      </c>
      <c r="D129" s="5" t="n">
        <v>2118760</v>
      </c>
      <c r="E129" s="5" t="n">
        <v>398970</v>
      </c>
      <c r="F129" s="5" t="n">
        <v>953536</v>
      </c>
      <c r="G129" s="5" t="n">
        <v>480080</v>
      </c>
      <c r="H129" s="5" t="n">
        <v>93808</v>
      </c>
      <c r="I129" s="5" t="n">
        <v>100796</v>
      </c>
      <c r="J129" s="5" t="n">
        <v>41343</v>
      </c>
      <c r="K129" s="5" t="n">
        <v>47124</v>
      </c>
      <c r="L129" s="5" t="n">
        <v>2668</v>
      </c>
      <c r="M129" s="5" t="n">
        <v>435</v>
      </c>
      <c r="N129" s="5" t="n">
        <v>1110980</v>
      </c>
    </row>
    <row r="130" customFormat="false" ht="15" hidden="false" customHeight="false" outlineLevel="0" collapsed="false">
      <c r="A130" s="4" t="s">
        <v>155</v>
      </c>
      <c r="B130" s="4" t="s">
        <v>29</v>
      </c>
      <c r="C130" s="5" t="n">
        <v>4</v>
      </c>
      <c r="D130" s="5" t="n">
        <v>2118760</v>
      </c>
      <c r="E130" s="5" t="n">
        <v>368745</v>
      </c>
      <c r="F130" s="5" t="n">
        <v>905352</v>
      </c>
      <c r="G130" s="5" t="n">
        <v>469092</v>
      </c>
      <c r="H130" s="5" t="n">
        <v>92004</v>
      </c>
      <c r="I130" s="5" t="n">
        <v>94317</v>
      </c>
      <c r="J130" s="5" t="n">
        <v>138121</v>
      </c>
      <c r="K130" s="5" t="n">
        <v>47124</v>
      </c>
      <c r="L130" s="5" t="n">
        <v>2668</v>
      </c>
      <c r="M130" s="5" t="n">
        <v>1337</v>
      </c>
      <c r="N130" s="5" t="n">
        <v>1181483</v>
      </c>
    </row>
    <row r="131" customFormat="false" ht="15" hidden="false" customHeight="false" outlineLevel="0" collapsed="false">
      <c r="A131" s="4" t="s">
        <v>156</v>
      </c>
      <c r="B131" s="4" t="s">
        <v>27</v>
      </c>
      <c r="C131" s="5" t="n">
        <v>12</v>
      </c>
      <c r="D131" s="5" t="n">
        <v>2118760</v>
      </c>
      <c r="E131" s="5" t="n">
        <v>413820</v>
      </c>
      <c r="F131" s="5" t="n">
        <v>971584</v>
      </c>
      <c r="G131" s="5" t="n">
        <v>482790</v>
      </c>
      <c r="H131" s="5" t="n">
        <v>94380</v>
      </c>
      <c r="I131" s="5" t="n">
        <v>64616</v>
      </c>
      <c r="J131" s="5" t="n">
        <v>41387</v>
      </c>
      <c r="K131" s="5" t="n">
        <v>47124</v>
      </c>
      <c r="L131" s="5" t="n">
        <v>2668</v>
      </c>
      <c r="M131" s="5" t="n">
        <v>391</v>
      </c>
      <c r="N131" s="5" t="n">
        <v>1086247</v>
      </c>
    </row>
    <row r="132" customFormat="false" ht="15" hidden="false" customHeight="false" outlineLevel="0" collapsed="false">
      <c r="A132" s="4" t="s">
        <v>157</v>
      </c>
      <c r="B132" s="4" t="s">
        <v>29</v>
      </c>
      <c r="C132" s="5" t="n">
        <v>4</v>
      </c>
      <c r="D132" s="5" t="n">
        <v>2118760</v>
      </c>
      <c r="E132" s="5" t="n">
        <v>382470</v>
      </c>
      <c r="F132" s="5" t="n">
        <v>922488</v>
      </c>
      <c r="G132" s="5" t="n">
        <v>471735</v>
      </c>
      <c r="H132" s="5" t="n">
        <v>92565</v>
      </c>
      <c r="I132" s="5" t="n">
        <v>60252</v>
      </c>
      <c r="J132" s="5" t="n">
        <v>139111</v>
      </c>
      <c r="K132" s="5" t="n">
        <v>47124</v>
      </c>
      <c r="L132" s="5" t="n">
        <v>2668</v>
      </c>
      <c r="M132" s="5" t="n">
        <v>347</v>
      </c>
      <c r="N132" s="5" t="n">
        <v>1158569</v>
      </c>
    </row>
    <row r="133" customFormat="false" ht="15" hidden="false" customHeight="false" outlineLevel="0" collapsed="false">
      <c r="A133" s="4" t="s">
        <v>158</v>
      </c>
      <c r="B133" s="4" t="s">
        <v>27</v>
      </c>
      <c r="C133" s="5" t="n">
        <v>12</v>
      </c>
      <c r="D133" s="5" t="n">
        <v>2118760</v>
      </c>
      <c r="E133" s="5" t="n">
        <v>413820</v>
      </c>
      <c r="F133" s="5" t="n">
        <v>971584</v>
      </c>
      <c r="G133" s="5" t="n">
        <v>482790</v>
      </c>
      <c r="H133" s="5" t="n">
        <v>94380</v>
      </c>
      <c r="I133" s="5" t="n">
        <v>64616</v>
      </c>
      <c r="J133" s="5" t="n">
        <v>41431</v>
      </c>
      <c r="K133" s="5" t="n">
        <v>47124</v>
      </c>
      <c r="L133" s="5" t="n">
        <v>2668</v>
      </c>
      <c r="M133" s="5" t="n">
        <v>347</v>
      </c>
      <c r="N133" s="5" t="n">
        <v>1085998</v>
      </c>
    </row>
    <row r="134" customFormat="false" ht="15" hidden="false" customHeight="false" outlineLevel="0" collapsed="false">
      <c r="A134" s="4" t="s">
        <v>159</v>
      </c>
      <c r="B134" s="4" t="s">
        <v>29</v>
      </c>
      <c r="C134" s="5" t="n">
        <v>4</v>
      </c>
      <c r="D134" s="5" t="n">
        <v>2118760</v>
      </c>
      <c r="E134" s="5" t="n">
        <v>382470</v>
      </c>
      <c r="F134" s="5" t="n">
        <v>922488</v>
      </c>
      <c r="G134" s="5" t="n">
        <v>471735</v>
      </c>
      <c r="H134" s="5" t="n">
        <v>92565</v>
      </c>
      <c r="I134" s="5" t="n">
        <v>60252</v>
      </c>
      <c r="J134" s="5" t="n">
        <v>139111</v>
      </c>
      <c r="K134" s="5" t="n">
        <v>47124</v>
      </c>
      <c r="L134" s="5" t="n">
        <v>2668</v>
      </c>
      <c r="M134" s="5" t="n">
        <v>347</v>
      </c>
      <c r="N134" s="5" t="n">
        <v>1158379</v>
      </c>
    </row>
    <row r="135" customFormat="false" ht="15" hidden="false" customHeight="false" outlineLevel="0" collapsed="false">
      <c r="A135" s="4" t="s">
        <v>160</v>
      </c>
      <c r="B135" s="4" t="s">
        <v>16</v>
      </c>
      <c r="C135" s="5" t="n">
        <v>6</v>
      </c>
      <c r="D135" s="5" t="n">
        <v>2118760</v>
      </c>
      <c r="E135" s="5" t="n">
        <v>0</v>
      </c>
      <c r="F135" s="5" t="n">
        <v>745470</v>
      </c>
      <c r="G135" s="5" t="n">
        <v>835920</v>
      </c>
      <c r="H135" s="5" t="n">
        <v>247940</v>
      </c>
      <c r="I135" s="5" t="n">
        <v>48700</v>
      </c>
      <c r="J135" s="5" t="n">
        <v>41300</v>
      </c>
      <c r="K135" s="5" t="n">
        <v>181104</v>
      </c>
      <c r="L135" s="5" t="n">
        <v>17848</v>
      </c>
      <c r="M135" s="5" t="n">
        <v>478</v>
      </c>
      <c r="N135" s="5" t="n">
        <v>2008430</v>
      </c>
    </row>
    <row r="136" customFormat="false" ht="15" hidden="false" customHeight="false" outlineLevel="0" collapsed="false">
      <c r="A136" s="4" t="s">
        <v>161</v>
      </c>
      <c r="B136" s="4" t="s">
        <v>27</v>
      </c>
      <c r="C136" s="5" t="n">
        <v>12</v>
      </c>
      <c r="D136" s="5" t="n">
        <v>2118760</v>
      </c>
      <c r="E136" s="5" t="n">
        <v>365310</v>
      </c>
      <c r="F136" s="5" t="n">
        <v>905408</v>
      </c>
      <c r="G136" s="5" t="n">
        <v>471950</v>
      </c>
      <c r="H136" s="5" t="n">
        <v>92092</v>
      </c>
      <c r="I136" s="5" t="n">
        <v>192430</v>
      </c>
      <c r="J136" s="5" t="n">
        <v>41300</v>
      </c>
      <c r="K136" s="5" t="n">
        <v>47124</v>
      </c>
      <c r="L136" s="5" t="n">
        <v>2668</v>
      </c>
      <c r="M136" s="5" t="n">
        <v>478</v>
      </c>
      <c r="N136" s="5" t="n">
        <v>1170766</v>
      </c>
    </row>
    <row r="137" customFormat="false" ht="15" hidden="false" customHeight="false" outlineLevel="0" collapsed="false">
      <c r="A137" s="4" t="s">
        <v>162</v>
      </c>
      <c r="B137" s="4" t="s">
        <v>29</v>
      </c>
      <c r="C137" s="5" t="n">
        <v>4</v>
      </c>
      <c r="D137" s="5" t="n">
        <v>2118760</v>
      </c>
      <c r="E137" s="5" t="n">
        <v>337635</v>
      </c>
      <c r="F137" s="5" t="n">
        <v>859656</v>
      </c>
      <c r="G137" s="5" t="n">
        <v>461163</v>
      </c>
      <c r="H137" s="5" t="n">
        <v>90321</v>
      </c>
      <c r="I137" s="5" t="n">
        <v>180735</v>
      </c>
      <c r="J137" s="5" t="n">
        <v>135240</v>
      </c>
      <c r="K137" s="5" t="n">
        <v>47124</v>
      </c>
      <c r="L137" s="5" t="n">
        <v>2668</v>
      </c>
      <c r="M137" s="5" t="n">
        <v>4218</v>
      </c>
      <c r="N137" s="5" t="n">
        <v>1236961</v>
      </c>
    </row>
    <row r="138" customFormat="false" ht="15" hidden="false" customHeight="false" outlineLevel="0" collapsed="false">
      <c r="A138" s="4" t="s">
        <v>163</v>
      </c>
      <c r="B138" s="4" t="s">
        <v>27</v>
      </c>
      <c r="C138" s="5" t="n">
        <v>12</v>
      </c>
      <c r="D138" s="5" t="n">
        <v>2118760</v>
      </c>
      <c r="E138" s="5" t="n">
        <v>374220</v>
      </c>
      <c r="F138" s="5" t="n">
        <v>920448</v>
      </c>
      <c r="G138" s="5" t="n">
        <v>474660</v>
      </c>
      <c r="H138" s="5" t="n">
        <v>92664</v>
      </c>
      <c r="I138" s="5" t="n">
        <v>165198</v>
      </c>
      <c r="J138" s="5" t="n">
        <v>41299</v>
      </c>
      <c r="K138" s="5" t="n">
        <v>47124</v>
      </c>
      <c r="L138" s="5" t="n">
        <v>2668</v>
      </c>
      <c r="M138" s="5" t="n">
        <v>479</v>
      </c>
      <c r="N138" s="5" t="n">
        <v>1153735</v>
      </c>
    </row>
    <row r="139" customFormat="false" ht="15" hidden="false" customHeight="false" outlineLevel="0" collapsed="false">
      <c r="A139" s="4" t="s">
        <v>164</v>
      </c>
      <c r="B139" s="4" t="s">
        <v>29</v>
      </c>
      <c r="C139" s="5" t="n">
        <v>4</v>
      </c>
      <c r="D139" s="5" t="n">
        <v>2118760</v>
      </c>
      <c r="E139" s="5" t="n">
        <v>345870</v>
      </c>
      <c r="F139" s="5" t="n">
        <v>873936</v>
      </c>
      <c r="G139" s="5" t="n">
        <v>463806</v>
      </c>
      <c r="H139" s="5" t="n">
        <v>90882</v>
      </c>
      <c r="I139" s="5" t="n">
        <v>155016</v>
      </c>
      <c r="J139" s="5" t="n">
        <v>136185</v>
      </c>
      <c r="K139" s="5" t="n">
        <v>47124</v>
      </c>
      <c r="L139" s="5" t="n">
        <v>2668</v>
      </c>
      <c r="M139" s="5" t="n">
        <v>3273</v>
      </c>
      <c r="N139" s="5" t="n">
        <v>1221137</v>
      </c>
    </row>
    <row r="140" customFormat="false" ht="15" hidden="false" customHeight="false" outlineLevel="0" collapsed="false">
      <c r="A140" s="4" t="s">
        <v>165</v>
      </c>
      <c r="B140" s="4" t="s">
        <v>27</v>
      </c>
      <c r="C140" s="5" t="n">
        <v>12</v>
      </c>
      <c r="D140" s="5" t="n">
        <v>2118760</v>
      </c>
      <c r="E140" s="5" t="n">
        <v>389070</v>
      </c>
      <c r="F140" s="5" t="n">
        <v>938496</v>
      </c>
      <c r="G140" s="5" t="n">
        <v>477370</v>
      </c>
      <c r="H140" s="5" t="n">
        <v>93236</v>
      </c>
      <c r="I140" s="5" t="n">
        <v>129018</v>
      </c>
      <c r="J140" s="5" t="n">
        <v>41343</v>
      </c>
      <c r="K140" s="5" t="n">
        <v>47124</v>
      </c>
      <c r="L140" s="5" t="n">
        <v>2668</v>
      </c>
      <c r="M140" s="5" t="n">
        <v>435</v>
      </c>
      <c r="N140" s="5" t="n">
        <v>1129002</v>
      </c>
    </row>
    <row r="141" customFormat="false" ht="15" hidden="false" customHeight="false" outlineLevel="0" collapsed="false">
      <c r="A141" s="4" t="s">
        <v>166</v>
      </c>
      <c r="B141" s="4" t="s">
        <v>29</v>
      </c>
      <c r="C141" s="5" t="n">
        <v>4</v>
      </c>
      <c r="D141" s="5" t="n">
        <v>2118760</v>
      </c>
      <c r="E141" s="5" t="n">
        <v>359595</v>
      </c>
      <c r="F141" s="5" t="n">
        <v>891072</v>
      </c>
      <c r="G141" s="5" t="n">
        <v>466449</v>
      </c>
      <c r="H141" s="5" t="n">
        <v>91443</v>
      </c>
      <c r="I141" s="5" t="n">
        <v>120951</v>
      </c>
      <c r="J141" s="5" t="n">
        <v>137175</v>
      </c>
      <c r="K141" s="5" t="n">
        <v>47124</v>
      </c>
      <c r="L141" s="5" t="n">
        <v>2668</v>
      </c>
      <c r="M141" s="5" t="n">
        <v>2283</v>
      </c>
      <c r="N141" s="5" t="n">
        <v>1198223</v>
      </c>
    </row>
    <row r="142" customFormat="false" ht="15" hidden="false" customHeight="false" outlineLevel="0" collapsed="false">
      <c r="A142" s="4" t="s">
        <v>167</v>
      </c>
      <c r="B142" s="4" t="s">
        <v>27</v>
      </c>
      <c r="C142" s="5" t="n">
        <v>12</v>
      </c>
      <c r="D142" s="5" t="n">
        <v>2118760</v>
      </c>
      <c r="E142" s="5" t="n">
        <v>403920</v>
      </c>
      <c r="F142" s="5" t="n">
        <v>956544</v>
      </c>
      <c r="G142" s="5" t="n">
        <v>480080</v>
      </c>
      <c r="H142" s="5" t="n">
        <v>93808</v>
      </c>
      <c r="I142" s="5" t="n">
        <v>92838</v>
      </c>
      <c r="J142" s="5" t="n">
        <v>41387</v>
      </c>
      <c r="K142" s="5" t="n">
        <v>47124</v>
      </c>
      <c r="L142" s="5" t="n">
        <v>2668</v>
      </c>
      <c r="M142" s="5" t="n">
        <v>391</v>
      </c>
      <c r="N142" s="5" t="n">
        <v>1104269</v>
      </c>
    </row>
    <row r="143" customFormat="false" ht="15" hidden="false" customHeight="false" outlineLevel="0" collapsed="false">
      <c r="A143" s="4" t="s">
        <v>168</v>
      </c>
      <c r="B143" s="4" t="s">
        <v>29</v>
      </c>
      <c r="C143" s="5" t="n">
        <v>4</v>
      </c>
      <c r="D143" s="5" t="n">
        <v>2118760</v>
      </c>
      <c r="E143" s="5" t="n">
        <v>373320</v>
      </c>
      <c r="F143" s="5" t="n">
        <v>908208</v>
      </c>
      <c r="G143" s="5" t="n">
        <v>469092</v>
      </c>
      <c r="H143" s="5" t="n">
        <v>92004</v>
      </c>
      <c r="I143" s="5" t="n">
        <v>86886</v>
      </c>
      <c r="J143" s="5" t="n">
        <v>138165</v>
      </c>
      <c r="K143" s="5" t="n">
        <v>47124</v>
      </c>
      <c r="L143" s="5" t="n">
        <v>2668</v>
      </c>
      <c r="M143" s="5" t="n">
        <v>1293</v>
      </c>
      <c r="N143" s="5" t="n">
        <v>1175309</v>
      </c>
    </row>
    <row r="144" customFormat="false" ht="15" hidden="false" customHeight="false" outlineLevel="0" collapsed="false">
      <c r="A144" s="4" t="s">
        <v>169</v>
      </c>
      <c r="B144" s="4" t="s">
        <v>27</v>
      </c>
      <c r="C144" s="5" t="n">
        <v>12</v>
      </c>
      <c r="D144" s="5" t="n">
        <v>2118760</v>
      </c>
      <c r="E144" s="5" t="n">
        <v>418770</v>
      </c>
      <c r="F144" s="5" t="n">
        <v>974592</v>
      </c>
      <c r="G144" s="5" t="n">
        <v>482790</v>
      </c>
      <c r="H144" s="5" t="n">
        <v>94380</v>
      </c>
      <c r="I144" s="5" t="n">
        <v>56658</v>
      </c>
      <c r="J144" s="5" t="n">
        <v>41431</v>
      </c>
      <c r="K144" s="5" t="n">
        <v>47124</v>
      </c>
      <c r="L144" s="5" t="n">
        <v>2668</v>
      </c>
      <c r="M144" s="5" t="n">
        <v>347</v>
      </c>
      <c r="N144" s="5" t="n">
        <v>1079536</v>
      </c>
    </row>
    <row r="145" customFormat="false" ht="15" hidden="false" customHeight="false" outlineLevel="0" collapsed="false">
      <c r="A145" s="4" t="s">
        <v>170</v>
      </c>
      <c r="B145" s="4" t="s">
        <v>29</v>
      </c>
      <c r="C145" s="5" t="n">
        <v>4</v>
      </c>
      <c r="D145" s="5" t="n">
        <v>2118760</v>
      </c>
      <c r="E145" s="5" t="n">
        <v>387045</v>
      </c>
      <c r="F145" s="5" t="n">
        <v>925344</v>
      </c>
      <c r="G145" s="5" t="n">
        <v>471735</v>
      </c>
      <c r="H145" s="5" t="n">
        <v>92565</v>
      </c>
      <c r="I145" s="5" t="n">
        <v>52821</v>
      </c>
      <c r="J145" s="5" t="n">
        <v>139155</v>
      </c>
      <c r="K145" s="5" t="n">
        <v>47124</v>
      </c>
      <c r="L145" s="5" t="n">
        <v>2668</v>
      </c>
      <c r="M145" s="5" t="n">
        <v>303</v>
      </c>
      <c r="N145" s="5" t="n">
        <v>1152395</v>
      </c>
    </row>
    <row r="146" customFormat="false" ht="15" hidden="false" customHeight="false" outlineLevel="0" collapsed="false">
      <c r="A146" s="4" t="s">
        <v>171</v>
      </c>
      <c r="B146" s="4" t="s">
        <v>16</v>
      </c>
      <c r="C146" s="5" t="n">
        <v>6</v>
      </c>
      <c r="D146" s="5" t="n">
        <v>2118760</v>
      </c>
      <c r="E146" s="5" t="n">
        <v>0</v>
      </c>
      <c r="F146" s="5" t="n">
        <v>745470</v>
      </c>
      <c r="G146" s="5" t="n">
        <v>835920</v>
      </c>
      <c r="H146" s="5" t="n">
        <v>247940</v>
      </c>
      <c r="I146" s="5" t="n">
        <v>48700</v>
      </c>
      <c r="J146" s="5" t="n">
        <v>41300</v>
      </c>
      <c r="K146" s="5" t="n">
        <v>181104</v>
      </c>
      <c r="L146" s="5" t="n">
        <v>17848</v>
      </c>
      <c r="M146" s="5" t="n">
        <v>478</v>
      </c>
      <c r="N146" s="5" t="n">
        <v>2008430</v>
      </c>
    </row>
    <row r="147" customFormat="false" ht="15" hidden="false" customHeight="false" outlineLevel="0" collapsed="false">
      <c r="A147" s="4" t="s">
        <v>172</v>
      </c>
      <c r="B147" s="4" t="s">
        <v>27</v>
      </c>
      <c r="C147" s="5" t="n">
        <v>12</v>
      </c>
      <c r="D147" s="5" t="n">
        <v>2118760</v>
      </c>
      <c r="E147" s="5" t="n">
        <v>364320</v>
      </c>
      <c r="F147" s="5" t="n">
        <v>905408</v>
      </c>
      <c r="G147" s="5" t="n">
        <v>471950</v>
      </c>
      <c r="H147" s="5" t="n">
        <v>92092</v>
      </c>
      <c r="I147" s="5" t="n">
        <v>193420</v>
      </c>
      <c r="J147" s="5" t="n">
        <v>41299</v>
      </c>
      <c r="K147" s="5" t="n">
        <v>47124</v>
      </c>
      <c r="L147" s="5" t="n">
        <v>2668</v>
      </c>
      <c r="M147" s="5" t="n">
        <v>479</v>
      </c>
      <c r="N147" s="5" t="n">
        <v>1171757</v>
      </c>
    </row>
    <row r="148" customFormat="false" ht="15" hidden="false" customHeight="false" outlineLevel="0" collapsed="false">
      <c r="A148" s="4" t="s">
        <v>173</v>
      </c>
      <c r="B148" s="4" t="s">
        <v>29</v>
      </c>
      <c r="C148" s="5" t="n">
        <v>4</v>
      </c>
      <c r="D148" s="5" t="n">
        <v>2118760</v>
      </c>
      <c r="E148" s="5" t="n">
        <v>336720</v>
      </c>
      <c r="F148" s="5" t="n">
        <v>859656</v>
      </c>
      <c r="G148" s="5" t="n">
        <v>461163</v>
      </c>
      <c r="H148" s="5" t="n">
        <v>90321</v>
      </c>
      <c r="I148" s="5" t="n">
        <v>181650</v>
      </c>
      <c r="J148" s="5" t="n">
        <v>135239</v>
      </c>
      <c r="K148" s="5" t="n">
        <v>47124</v>
      </c>
      <c r="L148" s="5" t="n">
        <v>2668</v>
      </c>
      <c r="M148" s="5" t="n">
        <v>4219</v>
      </c>
      <c r="N148" s="5" t="n">
        <v>1237877</v>
      </c>
    </row>
    <row r="149" customFormat="false" ht="15" hidden="false" customHeight="false" outlineLevel="0" collapsed="false">
      <c r="A149" s="4" t="s">
        <v>174</v>
      </c>
      <c r="B149" s="4" t="s">
        <v>27</v>
      </c>
      <c r="C149" s="5" t="n">
        <v>12</v>
      </c>
      <c r="D149" s="5" t="n">
        <v>2118760</v>
      </c>
      <c r="E149" s="5" t="n">
        <v>379170</v>
      </c>
      <c r="F149" s="5" t="n">
        <v>923456</v>
      </c>
      <c r="G149" s="5" t="n">
        <v>474660</v>
      </c>
      <c r="H149" s="5" t="n">
        <v>92664</v>
      </c>
      <c r="I149" s="5" t="n">
        <v>157240</v>
      </c>
      <c r="J149" s="5" t="n">
        <v>41343</v>
      </c>
      <c r="K149" s="5" t="n">
        <v>47124</v>
      </c>
      <c r="L149" s="5" t="n">
        <v>2668</v>
      </c>
      <c r="M149" s="5" t="n">
        <v>435</v>
      </c>
      <c r="N149" s="5" t="n">
        <v>1147024</v>
      </c>
    </row>
    <row r="150" customFormat="false" ht="15" hidden="false" customHeight="false" outlineLevel="0" collapsed="false">
      <c r="A150" s="4" t="s">
        <v>175</v>
      </c>
      <c r="B150" s="4" t="s">
        <v>29</v>
      </c>
      <c r="C150" s="5" t="n">
        <v>4</v>
      </c>
      <c r="D150" s="5" t="n">
        <v>2118760</v>
      </c>
      <c r="E150" s="5" t="n">
        <v>350445</v>
      </c>
      <c r="F150" s="5" t="n">
        <v>876792</v>
      </c>
      <c r="G150" s="5" t="n">
        <v>463806</v>
      </c>
      <c r="H150" s="5" t="n">
        <v>90882</v>
      </c>
      <c r="I150" s="5" t="n">
        <v>147585</v>
      </c>
      <c r="J150" s="5" t="n">
        <v>136229</v>
      </c>
      <c r="K150" s="5" t="n">
        <v>47124</v>
      </c>
      <c r="L150" s="5" t="n">
        <v>2668</v>
      </c>
      <c r="M150" s="5" t="n">
        <v>3229</v>
      </c>
      <c r="N150" s="5" t="n">
        <v>1214963</v>
      </c>
    </row>
    <row r="151" customFormat="false" ht="15" hidden="false" customHeight="false" outlineLevel="0" collapsed="false">
      <c r="A151" s="4" t="s">
        <v>176</v>
      </c>
      <c r="B151" s="4" t="s">
        <v>27</v>
      </c>
      <c r="C151" s="5" t="n">
        <v>12</v>
      </c>
      <c r="D151" s="5" t="n">
        <v>2118760</v>
      </c>
      <c r="E151" s="5" t="n">
        <v>394020</v>
      </c>
      <c r="F151" s="5" t="n">
        <v>941504</v>
      </c>
      <c r="G151" s="5" t="n">
        <v>477370</v>
      </c>
      <c r="H151" s="5" t="n">
        <v>93236</v>
      </c>
      <c r="I151" s="5" t="n">
        <v>121060</v>
      </c>
      <c r="J151" s="5" t="n">
        <v>41387</v>
      </c>
      <c r="K151" s="5" t="n">
        <v>47124</v>
      </c>
      <c r="L151" s="5" t="n">
        <v>2668</v>
      </c>
      <c r="M151" s="5" t="n">
        <v>391</v>
      </c>
      <c r="N151" s="5" t="n">
        <v>1122291</v>
      </c>
    </row>
    <row r="152" customFormat="false" ht="15" hidden="false" customHeight="false" outlineLevel="0" collapsed="false">
      <c r="A152" s="4" t="s">
        <v>177</v>
      </c>
      <c r="B152" s="4" t="s">
        <v>29</v>
      </c>
      <c r="C152" s="5" t="n">
        <v>4</v>
      </c>
      <c r="D152" s="5" t="n">
        <v>2118760</v>
      </c>
      <c r="E152" s="5" t="n">
        <v>364170</v>
      </c>
      <c r="F152" s="5" t="n">
        <v>893928</v>
      </c>
      <c r="G152" s="5" t="n">
        <v>466449</v>
      </c>
      <c r="H152" s="5" t="n">
        <v>91443</v>
      </c>
      <c r="I152" s="5" t="n">
        <v>113520</v>
      </c>
      <c r="J152" s="5" t="n">
        <v>137219</v>
      </c>
      <c r="K152" s="5" t="n">
        <v>47124</v>
      </c>
      <c r="L152" s="5" t="n">
        <v>2668</v>
      </c>
      <c r="M152" s="5" t="n">
        <v>2239</v>
      </c>
      <c r="N152" s="5" t="n">
        <v>1192049</v>
      </c>
    </row>
    <row r="153" customFormat="false" ht="15" hidden="false" customHeight="false" outlineLevel="0" collapsed="false">
      <c r="A153" s="4" t="s">
        <v>178</v>
      </c>
      <c r="B153" s="4" t="s">
        <v>27</v>
      </c>
      <c r="C153" s="5" t="n">
        <v>12</v>
      </c>
      <c r="D153" s="5" t="n">
        <v>2118760</v>
      </c>
      <c r="E153" s="5" t="n">
        <v>408870</v>
      </c>
      <c r="F153" s="5" t="n">
        <v>959552</v>
      </c>
      <c r="G153" s="5" t="n">
        <v>480080</v>
      </c>
      <c r="H153" s="5" t="n">
        <v>93808</v>
      </c>
      <c r="I153" s="5" t="n">
        <v>84880</v>
      </c>
      <c r="J153" s="5" t="n">
        <v>41431</v>
      </c>
      <c r="K153" s="5" t="n">
        <v>47124</v>
      </c>
      <c r="L153" s="5" t="n">
        <v>2668</v>
      </c>
      <c r="M153" s="5" t="n">
        <v>347</v>
      </c>
      <c r="N153" s="5" t="n">
        <v>1097558</v>
      </c>
    </row>
    <row r="154" customFormat="false" ht="15" hidden="false" customHeight="false" outlineLevel="0" collapsed="false">
      <c r="A154" s="4" t="s">
        <v>179</v>
      </c>
      <c r="B154" s="4" t="s">
        <v>29</v>
      </c>
      <c r="C154" s="5" t="n">
        <v>4</v>
      </c>
      <c r="D154" s="5" t="n">
        <v>2118760</v>
      </c>
      <c r="E154" s="5" t="n">
        <v>377895</v>
      </c>
      <c r="F154" s="5" t="n">
        <v>911064</v>
      </c>
      <c r="G154" s="5" t="n">
        <v>469092</v>
      </c>
      <c r="H154" s="5" t="n">
        <v>92004</v>
      </c>
      <c r="I154" s="5" t="n">
        <v>79455</v>
      </c>
      <c r="J154" s="5" t="n">
        <v>138209</v>
      </c>
      <c r="K154" s="5" t="n">
        <v>47124</v>
      </c>
      <c r="L154" s="5" t="n">
        <v>2668</v>
      </c>
      <c r="M154" s="5" t="n">
        <v>1249</v>
      </c>
      <c r="N154" s="5" t="n">
        <v>1169135</v>
      </c>
    </row>
    <row r="155" customFormat="false" ht="15" hidden="false" customHeight="false" outlineLevel="0" collapsed="false">
      <c r="A155" s="4" t="s">
        <v>180</v>
      </c>
      <c r="B155" s="4" t="s">
        <v>16</v>
      </c>
      <c r="C155" s="5" t="n">
        <v>6</v>
      </c>
      <c r="D155" s="5" t="n">
        <v>2118760</v>
      </c>
      <c r="E155" s="5" t="n">
        <v>0</v>
      </c>
      <c r="F155" s="5" t="n">
        <v>744480</v>
      </c>
      <c r="G155" s="5" t="n">
        <v>835920</v>
      </c>
      <c r="H155" s="5" t="n">
        <v>247940</v>
      </c>
      <c r="I155" s="5" t="n">
        <v>49690</v>
      </c>
      <c r="J155" s="5" t="n">
        <v>41298</v>
      </c>
      <c r="K155" s="5" t="n">
        <v>181104</v>
      </c>
      <c r="L155" s="5" t="n">
        <v>17848</v>
      </c>
      <c r="M155" s="5" t="n">
        <v>480</v>
      </c>
      <c r="N155" s="5" t="n">
        <v>2008432</v>
      </c>
    </row>
    <row r="156" customFormat="false" ht="15" hidden="false" customHeight="false" outlineLevel="0" collapsed="false">
      <c r="A156" s="4" t="s">
        <v>181</v>
      </c>
      <c r="B156" s="4" t="s">
        <v>27</v>
      </c>
      <c r="C156" s="5" t="n">
        <v>12</v>
      </c>
      <c r="D156" s="5" t="n">
        <v>2118760</v>
      </c>
      <c r="E156" s="5" t="n">
        <v>363330</v>
      </c>
      <c r="F156" s="5" t="n">
        <v>905408</v>
      </c>
      <c r="G156" s="5" t="n">
        <v>471950</v>
      </c>
      <c r="H156" s="5" t="n">
        <v>92092</v>
      </c>
      <c r="I156" s="5" t="n">
        <v>194410</v>
      </c>
      <c r="J156" s="5" t="n">
        <v>41342</v>
      </c>
      <c r="K156" s="5" t="n">
        <v>47124</v>
      </c>
      <c r="L156" s="5" t="n">
        <v>2668</v>
      </c>
      <c r="M156" s="5" t="n">
        <v>436</v>
      </c>
      <c r="N156" s="5" t="n">
        <v>1172499</v>
      </c>
    </row>
    <row r="157" customFormat="false" ht="15" hidden="false" customHeight="false" outlineLevel="0" collapsed="false">
      <c r="A157" s="4" t="s">
        <v>182</v>
      </c>
      <c r="B157" s="4" t="s">
        <v>29</v>
      </c>
      <c r="C157" s="5" t="n">
        <v>4</v>
      </c>
      <c r="D157" s="5" t="n">
        <v>2118760</v>
      </c>
      <c r="E157" s="5" t="n">
        <v>335805</v>
      </c>
      <c r="F157" s="5" t="n">
        <v>859656</v>
      </c>
      <c r="G157" s="5" t="n">
        <v>461163</v>
      </c>
      <c r="H157" s="5" t="n">
        <v>90321</v>
      </c>
      <c r="I157" s="5" t="n">
        <v>182565</v>
      </c>
      <c r="J157" s="5" t="n">
        <v>135238</v>
      </c>
      <c r="K157" s="5" t="n">
        <v>47124</v>
      </c>
      <c r="L157" s="5" t="n">
        <v>2668</v>
      </c>
      <c r="M157" s="5" t="n">
        <v>4220</v>
      </c>
      <c r="N157" s="5" t="n">
        <v>1238603</v>
      </c>
    </row>
    <row r="158" customFormat="false" ht="15" hidden="false" customHeight="false" outlineLevel="0" collapsed="false">
      <c r="A158" s="4" t="s">
        <v>183</v>
      </c>
      <c r="B158" s="4" t="s">
        <v>27</v>
      </c>
      <c r="C158" s="5" t="n">
        <v>12</v>
      </c>
      <c r="D158" s="5" t="n">
        <v>2118760</v>
      </c>
      <c r="E158" s="5" t="n">
        <v>378180</v>
      </c>
      <c r="F158" s="5" t="n">
        <v>923456</v>
      </c>
      <c r="G158" s="5" t="n">
        <v>474660</v>
      </c>
      <c r="H158" s="5" t="n">
        <v>92664</v>
      </c>
      <c r="I158" s="5" t="n">
        <v>158230</v>
      </c>
      <c r="J158" s="5" t="n">
        <v>41386</v>
      </c>
      <c r="K158" s="5" t="n">
        <v>47124</v>
      </c>
      <c r="L158" s="5" t="n">
        <v>2668</v>
      </c>
      <c r="M158" s="5" t="n">
        <v>392</v>
      </c>
      <c r="N158" s="5" t="n">
        <v>1147766</v>
      </c>
    </row>
    <row r="159" customFormat="false" ht="15" hidden="false" customHeight="false" outlineLevel="0" collapsed="false">
      <c r="A159" s="4" t="s">
        <v>184</v>
      </c>
      <c r="B159" s="4" t="s">
        <v>29</v>
      </c>
      <c r="C159" s="5" t="n">
        <v>4</v>
      </c>
      <c r="D159" s="5" t="n">
        <v>2118760</v>
      </c>
      <c r="E159" s="5" t="n">
        <v>349530</v>
      </c>
      <c r="F159" s="5" t="n">
        <v>876792</v>
      </c>
      <c r="G159" s="5" t="n">
        <v>463806</v>
      </c>
      <c r="H159" s="5" t="n">
        <v>90882</v>
      </c>
      <c r="I159" s="5" t="n">
        <v>148500</v>
      </c>
      <c r="J159" s="5" t="n">
        <v>136228</v>
      </c>
      <c r="K159" s="5" t="n">
        <v>47124</v>
      </c>
      <c r="L159" s="5" t="n">
        <v>2668</v>
      </c>
      <c r="M159" s="5" t="n">
        <v>3230</v>
      </c>
      <c r="N159" s="5" t="n">
        <v>1215689</v>
      </c>
    </row>
    <row r="160" customFormat="false" ht="15" hidden="false" customHeight="false" outlineLevel="0" collapsed="false">
      <c r="A160" s="4" t="s">
        <v>185</v>
      </c>
      <c r="B160" s="4" t="s">
        <v>27</v>
      </c>
      <c r="C160" s="5" t="n">
        <v>12</v>
      </c>
      <c r="D160" s="5" t="n">
        <v>2118760</v>
      </c>
      <c r="E160" s="5" t="n">
        <v>393030</v>
      </c>
      <c r="F160" s="5" t="n">
        <v>941504</v>
      </c>
      <c r="G160" s="5" t="n">
        <v>477370</v>
      </c>
      <c r="H160" s="5" t="n">
        <v>93236</v>
      </c>
      <c r="I160" s="5" t="n">
        <v>122050</v>
      </c>
      <c r="J160" s="5" t="n">
        <v>41430</v>
      </c>
      <c r="K160" s="5" t="n">
        <v>47124</v>
      </c>
      <c r="L160" s="5" t="n">
        <v>2668</v>
      </c>
      <c r="M160" s="5" t="n">
        <v>348</v>
      </c>
      <c r="N160" s="5" t="n">
        <v>1123033</v>
      </c>
    </row>
    <row r="161" customFormat="false" ht="15" hidden="false" customHeight="false" outlineLevel="0" collapsed="false">
      <c r="A161" s="4" t="s">
        <v>186</v>
      </c>
      <c r="B161" s="4" t="s">
        <v>29</v>
      </c>
      <c r="C161" s="5" t="n">
        <v>4</v>
      </c>
      <c r="D161" s="5" t="n">
        <v>2118760</v>
      </c>
      <c r="E161" s="5" t="n">
        <v>363255</v>
      </c>
      <c r="F161" s="5" t="n">
        <v>893928</v>
      </c>
      <c r="G161" s="5" t="n">
        <v>466449</v>
      </c>
      <c r="H161" s="5" t="n">
        <v>91443</v>
      </c>
      <c r="I161" s="5" t="n">
        <v>114435</v>
      </c>
      <c r="J161" s="5" t="n">
        <v>137218</v>
      </c>
      <c r="K161" s="5" t="n">
        <v>47124</v>
      </c>
      <c r="L161" s="5" t="n">
        <v>2668</v>
      </c>
      <c r="M161" s="5" t="n">
        <v>2240</v>
      </c>
      <c r="N161" s="5" t="n">
        <v>1192775</v>
      </c>
    </row>
    <row r="162" customFormat="false" ht="15" hidden="false" customHeight="false" outlineLevel="0" collapsed="false">
      <c r="A162" s="4" t="s">
        <v>187</v>
      </c>
      <c r="B162" s="4" t="s">
        <v>16</v>
      </c>
      <c r="C162" s="5" t="n">
        <v>6</v>
      </c>
      <c r="D162" s="5" t="n">
        <v>2118760</v>
      </c>
      <c r="E162" s="5" t="n">
        <v>0</v>
      </c>
      <c r="F162" s="5" t="n">
        <v>750420</v>
      </c>
      <c r="G162" s="5" t="n">
        <v>837432</v>
      </c>
      <c r="H162" s="5" t="n">
        <v>248446</v>
      </c>
      <c r="I162" s="5" t="n">
        <v>41732</v>
      </c>
      <c r="J162" s="5" t="n">
        <v>41386</v>
      </c>
      <c r="K162" s="5" t="n">
        <v>181104</v>
      </c>
      <c r="L162" s="5" t="n">
        <v>17848</v>
      </c>
      <c r="M162" s="5" t="n">
        <v>392</v>
      </c>
      <c r="N162" s="5" t="n">
        <v>2007934</v>
      </c>
    </row>
    <row r="163" customFormat="false" ht="15" hidden="false" customHeight="false" outlineLevel="0" collapsed="false">
      <c r="A163" s="4" t="s">
        <v>188</v>
      </c>
      <c r="B163" s="4" t="s">
        <v>27</v>
      </c>
      <c r="C163" s="5" t="n">
        <v>12</v>
      </c>
      <c r="D163" s="5" t="n">
        <v>2118760</v>
      </c>
      <c r="E163" s="5" t="n">
        <v>383130</v>
      </c>
      <c r="F163" s="5" t="n">
        <v>926464</v>
      </c>
      <c r="G163" s="5" t="n">
        <v>474660</v>
      </c>
      <c r="H163" s="5" t="n">
        <v>92664</v>
      </c>
      <c r="I163" s="5" t="n">
        <v>150272</v>
      </c>
      <c r="J163" s="5" t="n">
        <v>41430</v>
      </c>
      <c r="K163" s="5" t="n">
        <v>47124</v>
      </c>
      <c r="L163" s="5" t="n">
        <v>2668</v>
      </c>
      <c r="M163" s="5" t="n">
        <v>348</v>
      </c>
      <c r="N163" s="5" t="n">
        <v>1141055</v>
      </c>
    </row>
    <row r="164" customFormat="false" ht="15" hidden="false" customHeight="false" outlineLevel="0" collapsed="false">
      <c r="A164" s="4" t="s">
        <v>189</v>
      </c>
      <c r="B164" s="4" t="s">
        <v>29</v>
      </c>
      <c r="C164" s="5" t="n">
        <v>4</v>
      </c>
      <c r="D164" s="5" t="n">
        <v>2118760</v>
      </c>
      <c r="E164" s="5" t="n">
        <v>354105</v>
      </c>
      <c r="F164" s="5" t="n">
        <v>879648</v>
      </c>
      <c r="G164" s="5" t="n">
        <v>463806</v>
      </c>
      <c r="H164" s="5" t="n">
        <v>90882</v>
      </c>
      <c r="I164" s="5" t="n">
        <v>141069</v>
      </c>
      <c r="J164" s="5" t="n">
        <v>136272</v>
      </c>
      <c r="K164" s="5" t="n">
        <v>47124</v>
      </c>
      <c r="L164" s="5" t="n">
        <v>2668</v>
      </c>
      <c r="M164" s="5" t="n">
        <v>3186</v>
      </c>
      <c r="N164" s="5" t="n">
        <v>1209515</v>
      </c>
    </row>
    <row r="165" customFormat="false" ht="15" hidden="false" customHeight="false" outlineLevel="0" collapsed="false">
      <c r="A165" s="4" t="s">
        <v>190</v>
      </c>
      <c r="B165" s="4" t="s">
        <v>27</v>
      </c>
      <c r="C165" s="5" t="n">
        <v>12</v>
      </c>
      <c r="D165" s="5" t="n">
        <v>2118760</v>
      </c>
      <c r="E165" s="5" t="n">
        <v>397980</v>
      </c>
      <c r="F165" s="5" t="n">
        <v>944512</v>
      </c>
      <c r="G165" s="5" t="n">
        <v>477370</v>
      </c>
      <c r="H165" s="5" t="n">
        <v>93236</v>
      </c>
      <c r="I165" s="5" t="n">
        <v>114092</v>
      </c>
      <c r="J165" s="5" t="n">
        <v>41474</v>
      </c>
      <c r="K165" s="5" t="n">
        <v>47124</v>
      </c>
      <c r="L165" s="5" t="n">
        <v>2668</v>
      </c>
      <c r="M165" s="5" t="n">
        <v>304</v>
      </c>
      <c r="N165" s="5" t="n">
        <v>1116322</v>
      </c>
    </row>
    <row r="166" customFormat="false" ht="15" hidden="false" customHeight="false" outlineLevel="0" collapsed="false">
      <c r="A166" s="4" t="s">
        <v>191</v>
      </c>
      <c r="B166" s="4" t="s">
        <v>29</v>
      </c>
      <c r="C166" s="5" t="n">
        <v>4</v>
      </c>
      <c r="D166" s="5" t="n">
        <v>2118760</v>
      </c>
      <c r="E166" s="5" t="n">
        <v>367830</v>
      </c>
      <c r="F166" s="5" t="n">
        <v>896784</v>
      </c>
      <c r="G166" s="5" t="n">
        <v>466449</v>
      </c>
      <c r="H166" s="5" t="n">
        <v>91443</v>
      </c>
      <c r="I166" s="5" t="n">
        <v>107004</v>
      </c>
      <c r="J166" s="5" t="n">
        <v>137262</v>
      </c>
      <c r="K166" s="5" t="n">
        <v>47124</v>
      </c>
      <c r="L166" s="5" t="n">
        <v>2668</v>
      </c>
      <c r="M166" s="5" t="n">
        <v>2196</v>
      </c>
      <c r="N166" s="5" t="n">
        <v>1186601</v>
      </c>
    </row>
    <row r="167" customFormat="false" ht="15" hidden="false" customHeight="false" outlineLevel="0" collapsed="false">
      <c r="A167" s="4" t="s">
        <v>192</v>
      </c>
      <c r="B167" s="4" t="s">
        <v>16</v>
      </c>
      <c r="C167" s="5" t="n">
        <v>6</v>
      </c>
      <c r="D167" s="5" t="n">
        <v>2118760</v>
      </c>
      <c r="E167" s="5" t="n">
        <v>0</v>
      </c>
      <c r="F167" s="5" t="n">
        <v>756360</v>
      </c>
      <c r="G167" s="5" t="n">
        <v>838944</v>
      </c>
      <c r="H167" s="5" t="n">
        <v>248952</v>
      </c>
      <c r="I167" s="5" t="n">
        <v>33774</v>
      </c>
      <c r="J167" s="5" t="n">
        <v>41474</v>
      </c>
      <c r="K167" s="5" t="n">
        <v>181104</v>
      </c>
      <c r="L167" s="5" t="n">
        <v>17848</v>
      </c>
      <c r="M167" s="5" t="n">
        <v>304</v>
      </c>
      <c r="N167" s="5" t="n">
        <v>2007436</v>
      </c>
    </row>
    <row r="168" customFormat="false" ht="15" hidden="false" customHeight="false" outlineLevel="0" collapsed="false">
      <c r="A168" s="4" t="s">
        <v>193</v>
      </c>
      <c r="B168" s="4" t="s">
        <v>27</v>
      </c>
      <c r="C168" s="5" t="n">
        <v>12</v>
      </c>
      <c r="D168" s="5" t="n">
        <v>2118760</v>
      </c>
      <c r="E168" s="5" t="n">
        <v>402930</v>
      </c>
      <c r="F168" s="5" t="n">
        <v>947520</v>
      </c>
      <c r="G168" s="5" t="n">
        <v>477370</v>
      </c>
      <c r="H168" s="5" t="n">
        <v>93236</v>
      </c>
      <c r="I168" s="5" t="n">
        <v>106134</v>
      </c>
      <c r="J168" s="5" t="n">
        <v>41518</v>
      </c>
      <c r="K168" s="5" t="n">
        <v>47124</v>
      </c>
      <c r="L168" s="5" t="n">
        <v>2668</v>
      </c>
      <c r="M168" s="5" t="n">
        <v>260</v>
      </c>
      <c r="N168" s="5" t="n">
        <v>1109611</v>
      </c>
    </row>
    <row r="169" customFormat="false" ht="15" hidden="false" customHeight="false" outlineLevel="0" collapsed="false">
      <c r="A169" s="4" t="s">
        <v>194</v>
      </c>
      <c r="B169" s="4" t="s">
        <v>29</v>
      </c>
      <c r="C169" s="5" t="n">
        <v>4</v>
      </c>
      <c r="D169" s="5" t="n">
        <v>2118760</v>
      </c>
      <c r="E169" s="5" t="n">
        <v>372405</v>
      </c>
      <c r="F169" s="5" t="n">
        <v>899640</v>
      </c>
      <c r="G169" s="5" t="n">
        <v>466449</v>
      </c>
      <c r="H169" s="5" t="n">
        <v>91443</v>
      </c>
      <c r="I169" s="5" t="n">
        <v>99573</v>
      </c>
      <c r="J169" s="5" t="n">
        <v>137306</v>
      </c>
      <c r="K169" s="5" t="n">
        <v>47124</v>
      </c>
      <c r="L169" s="5" t="n">
        <v>2668</v>
      </c>
      <c r="M169" s="5" t="n">
        <v>2152</v>
      </c>
      <c r="N169" s="5" t="n">
        <v>1180427</v>
      </c>
    </row>
    <row r="170" customFormat="false" ht="15" hidden="false" customHeight="false" outlineLevel="0" collapsed="false">
      <c r="A170" s="4" t="s">
        <v>195</v>
      </c>
      <c r="B170" s="4" t="s">
        <v>16</v>
      </c>
      <c r="C170" s="5" t="n">
        <v>6</v>
      </c>
      <c r="D170" s="5" t="n">
        <v>2118760</v>
      </c>
      <c r="E170" s="5" t="n">
        <v>0</v>
      </c>
      <c r="F170" s="5" t="n">
        <v>762300</v>
      </c>
      <c r="G170" s="5" t="n">
        <v>840456</v>
      </c>
      <c r="H170" s="5" t="n">
        <v>249458</v>
      </c>
      <c r="I170" s="5" t="n">
        <v>25816</v>
      </c>
      <c r="J170" s="5" t="n">
        <v>41562</v>
      </c>
      <c r="K170" s="5" t="n">
        <v>181104</v>
      </c>
      <c r="L170" s="5" t="n">
        <v>17848</v>
      </c>
      <c r="M170" s="5" t="n">
        <v>216</v>
      </c>
      <c r="N170" s="5" t="n">
        <v>2006938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2"/>
  </cols>
  <sheetData>
    <row r="1" customFormat="false" ht="30" hidden="false" customHeight="true" outlineLevel="0" collapsed="false">
      <c r="A1" s="3" t="s">
        <v>11</v>
      </c>
      <c r="B1" s="3" t="s">
        <v>12</v>
      </c>
      <c r="C1" s="3" t="s">
        <v>13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196</v>
      </c>
      <c r="N1" s="3" t="s">
        <v>197</v>
      </c>
      <c r="O1" s="3" t="s">
        <v>198</v>
      </c>
      <c r="P1" s="3" t="s">
        <v>24</v>
      </c>
    </row>
    <row r="2" customFormat="false" ht="15" hidden="false" customHeight="false" outlineLevel="0" collapsed="false">
      <c r="A2" s="4" t="str">
        <f aca="false">Conteos!A2</f>
        <v>AA</v>
      </c>
      <c r="B2" s="4" t="str">
        <f aca="false">Conteos!B2</f>
        <v>Pareja</v>
      </c>
      <c r="C2" s="6" t="n">
        <f aca="false">Conteos!C2</f>
        <v>6</v>
      </c>
      <c r="D2" s="7" t="n">
        <f aca="false">Conteos!E2/Conteos!$D2</f>
        <v>0</v>
      </c>
      <c r="E2" s="7" t="n">
        <f aca="false">Conteos!F2/Conteos!$D2</f>
        <v>0.359785912514867</v>
      </c>
      <c r="F2" s="7" t="n">
        <f aca="false">Conteos!G2/Conteos!$D2</f>
        <v>0.396673526024656</v>
      </c>
      <c r="G2" s="7" t="n">
        <f aca="false">Conteos!H2/Conteos!$D2</f>
        <v>0.117737733391229</v>
      </c>
      <c r="H2" s="7" t="n">
        <f aca="false">Conteos!I2/Conteos!$D2</f>
        <v>0.0121844852649663</v>
      </c>
      <c r="I2" s="7" t="n">
        <f aca="false">Conteos!J2/Conteos!$D2</f>
        <v>0.0196161906020503</v>
      </c>
      <c r="J2" s="7" t="n">
        <f aca="false">Conteos!K2/Conteos!$D2</f>
        <v>0.0854764107308048</v>
      </c>
      <c r="K2" s="7" t="n">
        <f aca="false">Conteos!L2/Conteos!$D2</f>
        <v>0.00842379504993487</v>
      </c>
      <c r="L2" s="7" t="n">
        <f aca="false">Conteos!M2/Conteos!$D2</f>
        <v>0.000101946421491816</v>
      </c>
      <c r="M2" s="7" t="n">
        <f aca="false">SUM(H2:L2)</f>
        <v>0.125802828069248</v>
      </c>
      <c r="N2" s="7" t="n">
        <f aca="false">SUM(I2:L2)</f>
        <v>0.113618342804282</v>
      </c>
      <c r="O2" s="7" t="n">
        <f aca="false">SUM(G2:L2)</f>
        <v>0.243540561460477</v>
      </c>
      <c r="P2" s="7" t="n">
        <f aca="false">Conteos!N2/Conteos!D2</f>
        <v>0.947222903962695</v>
      </c>
    </row>
    <row r="3" customFormat="false" ht="15" hidden="false" customHeight="false" outlineLevel="0" collapsed="false">
      <c r="A3" s="4" t="str">
        <f aca="false">Conteos!A3</f>
        <v>AKo</v>
      </c>
      <c r="B3" s="4" t="str">
        <f aca="false">Conteos!B3</f>
        <v>Offsuit</v>
      </c>
      <c r="C3" s="6" t="n">
        <f aca="false">Conteos!C3</f>
        <v>12</v>
      </c>
      <c r="D3" s="7" t="n">
        <f aca="false">Conteos!E3/Conteos!$D3</f>
        <v>0.197181370235421</v>
      </c>
      <c r="E3" s="7" t="n">
        <f aca="false">Conteos!F3/Conteos!$D3</f>
        <v>0.455723158828749</v>
      </c>
      <c r="F3" s="7" t="n">
        <f aca="false">Conteos!G3/Conteos!$D3</f>
        <v>0.226585361249032</v>
      </c>
      <c r="G3" s="7" t="n">
        <f aca="false">Conteos!H3/Conteos!$D3</f>
        <v>0.0442749532745568</v>
      </c>
      <c r="H3" s="7" t="n">
        <f aca="false">Conteos!I3/Conteos!$D3</f>
        <v>0.0330164813381412</v>
      </c>
      <c r="I3" s="7" t="n">
        <f aca="false">Conteos!J3/Conteos!$D3</f>
        <v>0.0196161906020503</v>
      </c>
      <c r="J3" s="7" t="n">
        <f aca="false">Conteos!K3/Conteos!$D3</f>
        <v>0.0222413109554645</v>
      </c>
      <c r="K3" s="7" t="n">
        <f aca="false">Conteos!L3/Conteos!$D3</f>
        <v>0.00125922709509336</v>
      </c>
      <c r="L3" s="7" t="n">
        <f aca="false">Conteos!M3/Conteos!$D3</f>
        <v>0.000101946421491816</v>
      </c>
      <c r="M3" s="7" t="n">
        <f aca="false">SUM(H3:L3)</f>
        <v>0.0762351564122411</v>
      </c>
      <c r="N3" s="7" t="n">
        <f aca="false">SUM(I3:L3)</f>
        <v>0.0432186750740999</v>
      </c>
      <c r="O3" s="7" t="n">
        <f aca="false">SUM(G3:L3)</f>
        <v>0.120510109686798</v>
      </c>
      <c r="P3" s="7" t="n">
        <f aca="false">Conteos!N3/Conteos!D3</f>
        <v>0.51203439747777</v>
      </c>
    </row>
    <row r="4" customFormat="false" ht="15" hidden="false" customHeight="false" outlineLevel="0" collapsed="false">
      <c r="A4" s="4" t="str">
        <f aca="false">Conteos!A4</f>
        <v>AKs</v>
      </c>
      <c r="B4" s="4" t="str">
        <f aca="false">Conteos!B4</f>
        <v>Suited</v>
      </c>
      <c r="C4" s="6" t="n">
        <f aca="false">Conteos!C4</f>
        <v>4</v>
      </c>
      <c r="D4" s="7" t="n">
        <f aca="false">Conteos!E4/Conteos!$D4</f>
        <v>0.182243387641828</v>
      </c>
      <c r="E4" s="7" t="n">
        <f aca="false">Conteos!F4/Conteos!$D4</f>
        <v>0.432694594951764</v>
      </c>
      <c r="F4" s="7" t="n">
        <f aca="false">Conteos!G4/Conteos!$D4</f>
        <v>0.22139930902981</v>
      </c>
      <c r="G4" s="7" t="n">
        <f aca="false">Conteos!H4/Conteos!$D4</f>
        <v>0.0434235118654307</v>
      </c>
      <c r="H4" s="7" t="n">
        <f aca="false">Conteos!I4/Conteos!$D4</f>
        <v>0.0309180841624346</v>
      </c>
      <c r="I4" s="7" t="n">
        <f aca="false">Conteos!J4/Conteos!$D4</f>
        <v>0.0652721403084823</v>
      </c>
      <c r="J4" s="7" t="n">
        <f aca="false">Conteos!K4/Conteos!$D4</f>
        <v>0.0222413109554645</v>
      </c>
      <c r="K4" s="7" t="n">
        <f aca="false">Conteos!L4/Conteos!$D4</f>
        <v>0.00125922709509336</v>
      </c>
      <c r="L4" s="7" t="n">
        <f aca="false">Conteos!M4/Conteos!$D4</f>
        <v>0.000548433989692084</v>
      </c>
      <c r="M4" s="7" t="n">
        <f aca="false">SUM(H4:L4)</f>
        <v>0.120239196511167</v>
      </c>
      <c r="N4" s="7" t="n">
        <f aca="false">SUM(I4:L4)</f>
        <v>0.0893211123487323</v>
      </c>
      <c r="O4" s="7" t="n">
        <f aca="false">SUM(G4:L4)</f>
        <v>0.163662708376598</v>
      </c>
      <c r="P4" s="7" t="n">
        <f aca="false">Conteos!N4/Conteos!D4</f>
        <v>0.546316241575261</v>
      </c>
    </row>
    <row r="5" customFormat="false" ht="15" hidden="false" customHeight="false" outlineLevel="0" collapsed="false">
      <c r="A5" s="4" t="str">
        <f aca="false">Conteos!A5</f>
        <v>AQo</v>
      </c>
      <c r="B5" s="4" t="str">
        <f aca="false">Conteos!B5</f>
        <v>Offsuit</v>
      </c>
      <c r="C5" s="6" t="n">
        <f aca="false">Conteos!C5</f>
        <v>12</v>
      </c>
      <c r="D5" s="7" t="n">
        <f aca="false">Conteos!E5/Conteos!$D5</f>
        <v>0.194845098076233</v>
      </c>
      <c r="E5" s="7" t="n">
        <f aca="false">Conteos!F5/Conteos!$D5</f>
        <v>0.454303460514641</v>
      </c>
      <c r="F5" s="7" t="n">
        <f aca="false">Conteos!G5/Conteos!$D5</f>
        <v>0.226585361249032</v>
      </c>
      <c r="G5" s="7" t="n">
        <f aca="false">Conteos!H5/Conteos!$D5</f>
        <v>0.0442749532745568</v>
      </c>
      <c r="H5" s="7" t="n">
        <f aca="false">Conteos!I5/Conteos!$D5</f>
        <v>0.0367724518114369</v>
      </c>
      <c r="I5" s="7" t="n">
        <f aca="false">Conteos!J5/Conteos!$D5</f>
        <v>0.019595423738413</v>
      </c>
      <c r="J5" s="7" t="n">
        <f aca="false">Conteos!K5/Conteos!$D5</f>
        <v>0.0222413109554645</v>
      </c>
      <c r="K5" s="7" t="n">
        <f aca="false">Conteos!L5/Conteos!$D5</f>
        <v>0.00125922709509336</v>
      </c>
      <c r="L5" s="7" t="n">
        <f aca="false">Conteos!M5/Conteos!$D5</f>
        <v>0.000122713285129038</v>
      </c>
      <c r="M5" s="7" t="n">
        <f aca="false">SUM(H5:L5)</f>
        <v>0.0799911268855368</v>
      </c>
      <c r="N5" s="7" t="n">
        <f aca="false">SUM(I5:L5)</f>
        <v>0.0432186750740999</v>
      </c>
      <c r="O5" s="7" t="n">
        <f aca="false">SUM(G5:L5)</f>
        <v>0.124266080160094</v>
      </c>
      <c r="P5" s="7" t="n">
        <f aca="false">Conteos!N5/Conteos!D5</f>
        <v>0.51520181615662</v>
      </c>
    </row>
    <row r="6" customFormat="false" ht="15" hidden="false" customHeight="false" outlineLevel="0" collapsed="false">
      <c r="A6" s="4" t="str">
        <f aca="false">Conteos!A6</f>
        <v>AQs</v>
      </c>
      <c r="B6" s="4" t="str">
        <f aca="false">Conteos!B6</f>
        <v>Suited</v>
      </c>
      <c r="C6" s="6" t="n">
        <f aca="false">Conteos!C6</f>
        <v>4</v>
      </c>
      <c r="D6" s="7" t="n">
        <f aca="false">Conteos!E6/Conteos!$D6</f>
        <v>0.180084105797731</v>
      </c>
      <c r="E6" s="7" t="n">
        <f aca="false">Conteos!F6/Conteos!$D6</f>
        <v>0.431346636712039</v>
      </c>
      <c r="F6" s="7" t="n">
        <f aca="false">Conteos!G6/Conteos!$D6</f>
        <v>0.22139930902981</v>
      </c>
      <c r="G6" s="7" t="n">
        <f aca="false">Conteos!H6/Conteos!$D6</f>
        <v>0.0434235118654307</v>
      </c>
      <c r="H6" s="7" t="n">
        <f aca="false">Conteos!I6/Conteos!$D6</f>
        <v>0.0344253242462572</v>
      </c>
      <c r="I6" s="7" t="n">
        <f aca="false">Conteos!J6/Conteos!$D6</f>
        <v>0.0652513734448451</v>
      </c>
      <c r="J6" s="7" t="n">
        <f aca="false">Conteos!K6/Conteos!$D6</f>
        <v>0.0222413109554645</v>
      </c>
      <c r="K6" s="7" t="n">
        <f aca="false">Conteos!L6/Conteos!$D6</f>
        <v>0.00125922709509336</v>
      </c>
      <c r="L6" s="7" t="n">
        <f aca="false">Conteos!M6/Conteos!$D6</f>
        <v>0.000569200853329306</v>
      </c>
      <c r="M6" s="7" t="n">
        <f aca="false">SUM(H6:L6)</f>
        <v>0.12374643659499</v>
      </c>
      <c r="N6" s="7" t="n">
        <f aca="false">SUM(I6:L6)</f>
        <v>0.0893211123487323</v>
      </c>
      <c r="O6" s="7" t="n">
        <f aca="false">SUM(G6:L6)</f>
        <v>0.16716994846042</v>
      </c>
      <c r="P6" s="7" t="n">
        <f aca="false">Conteos!N6/Conteos!D6</f>
        <v>0.549230210122902</v>
      </c>
    </row>
    <row r="7" customFormat="false" ht="15" hidden="false" customHeight="false" outlineLevel="0" collapsed="false">
      <c r="A7" s="4" t="str">
        <f aca="false">Conteos!A7</f>
        <v>AJo</v>
      </c>
      <c r="B7" s="4" t="str">
        <f aca="false">Conteos!B7</f>
        <v>Offsuit</v>
      </c>
      <c r="C7" s="6" t="n">
        <f aca="false">Conteos!C7</f>
        <v>12</v>
      </c>
      <c r="D7" s="7" t="n">
        <f aca="false">Conteos!E7/Conteos!$D7</f>
        <v>0.192508825917046</v>
      </c>
      <c r="E7" s="7" t="n">
        <f aca="false">Conteos!F7/Conteos!$D7</f>
        <v>0.452883762200532</v>
      </c>
      <c r="F7" s="7" t="n">
        <f aca="false">Conteos!G7/Conteos!$D7</f>
        <v>0.226585361249032</v>
      </c>
      <c r="G7" s="7" t="n">
        <f aca="false">Conteos!H7/Conteos!$D7</f>
        <v>0.0442749532745568</v>
      </c>
      <c r="H7" s="7" t="n">
        <f aca="false">Conteos!I7/Conteos!$D7</f>
        <v>0.0405284222847326</v>
      </c>
      <c r="I7" s="7" t="n">
        <f aca="false">Conteos!J7/Conteos!$D7</f>
        <v>0.0195746568747758</v>
      </c>
      <c r="J7" s="7" t="n">
        <f aca="false">Conteos!K7/Conteos!$D7</f>
        <v>0.0222413109554645</v>
      </c>
      <c r="K7" s="7" t="n">
        <f aca="false">Conteos!L7/Conteos!$D7</f>
        <v>0.00125922709509336</v>
      </c>
      <c r="L7" s="7" t="n">
        <f aca="false">Conteos!M7/Conteos!$D7</f>
        <v>0.00014348014876626</v>
      </c>
      <c r="M7" s="7" t="n">
        <f aca="false">SUM(H7:L7)</f>
        <v>0.0837470973588325</v>
      </c>
      <c r="N7" s="7" t="n">
        <f aca="false">SUM(I7:L7)</f>
        <v>0.0432186750740999</v>
      </c>
      <c r="O7" s="7" t="n">
        <f aca="false">SUM(G7:L7)</f>
        <v>0.128022050633389</v>
      </c>
      <c r="P7" s="7" t="n">
        <f aca="false">Conteos!N7/Conteos!D7</f>
        <v>0.51836923483547</v>
      </c>
    </row>
    <row r="8" customFormat="false" ht="15" hidden="false" customHeight="false" outlineLevel="0" collapsed="false">
      <c r="A8" s="4" t="str">
        <f aca="false">Conteos!A8</f>
        <v>AJs</v>
      </c>
      <c r="B8" s="4" t="str">
        <f aca="false">Conteos!B8</f>
        <v>Suited</v>
      </c>
      <c r="C8" s="6" t="n">
        <f aca="false">Conteos!C8</f>
        <v>4</v>
      </c>
      <c r="D8" s="7" t="n">
        <f aca="false">Conteos!E8/Conteos!$D8</f>
        <v>0.177924823953633</v>
      </c>
      <c r="E8" s="7" t="n">
        <f aca="false">Conteos!F8/Conteos!$D8</f>
        <v>0.429998678472314</v>
      </c>
      <c r="F8" s="7" t="n">
        <f aca="false">Conteos!G8/Conteos!$D8</f>
        <v>0.22139930902981</v>
      </c>
      <c r="G8" s="7" t="n">
        <f aca="false">Conteos!H8/Conteos!$D8</f>
        <v>0.0434235118654307</v>
      </c>
      <c r="H8" s="7" t="n">
        <f aca="false">Conteos!I8/Conteos!$D8</f>
        <v>0.0379325643300799</v>
      </c>
      <c r="I8" s="7" t="n">
        <f aca="false">Conteos!J8/Conteos!$D8</f>
        <v>0.0652306065812079</v>
      </c>
      <c r="J8" s="7" t="n">
        <f aca="false">Conteos!K8/Conteos!$D8</f>
        <v>0.0222413109554645</v>
      </c>
      <c r="K8" s="7" t="n">
        <f aca="false">Conteos!L8/Conteos!$D8</f>
        <v>0.00125922709509336</v>
      </c>
      <c r="L8" s="7" t="n">
        <f aca="false">Conteos!M8/Conteos!$D8</f>
        <v>0.000589967716966528</v>
      </c>
      <c r="M8" s="7" t="n">
        <f aca="false">SUM(H8:L8)</f>
        <v>0.127253676678812</v>
      </c>
      <c r="N8" s="7" t="n">
        <f aca="false">SUM(I8:L8)</f>
        <v>0.0893211123487323</v>
      </c>
      <c r="O8" s="7" t="n">
        <f aca="false">SUM(G8:L8)</f>
        <v>0.170677188544243</v>
      </c>
      <c r="P8" s="7" t="n">
        <f aca="false">Conteos!N8/Conteos!D8</f>
        <v>0.552144178670543</v>
      </c>
    </row>
    <row r="9" customFormat="false" ht="15" hidden="false" customHeight="false" outlineLevel="0" collapsed="false">
      <c r="A9" s="4" t="str">
        <f aca="false">Conteos!A9</f>
        <v>ATo</v>
      </c>
      <c r="B9" s="4" t="str">
        <f aca="false">Conteos!B9</f>
        <v>Offsuit</v>
      </c>
      <c r="C9" s="6" t="n">
        <f aca="false">Conteos!C9</f>
        <v>12</v>
      </c>
      <c r="D9" s="7" t="n">
        <f aca="false">Conteos!E9/Conteos!$D9</f>
        <v>0.190172553757858</v>
      </c>
      <c r="E9" s="7" t="n">
        <f aca="false">Conteos!F9/Conteos!$D9</f>
        <v>0.451464063886424</v>
      </c>
      <c r="F9" s="7" t="n">
        <f aca="false">Conteos!G9/Conteos!$D9</f>
        <v>0.226585361249032</v>
      </c>
      <c r="G9" s="7" t="n">
        <f aca="false">Conteos!H9/Conteos!$D9</f>
        <v>0.0442749532745568</v>
      </c>
      <c r="H9" s="7" t="n">
        <f aca="false">Conteos!I9/Conteos!$D9</f>
        <v>0.0442843927580283</v>
      </c>
      <c r="I9" s="7" t="n">
        <f aca="false">Conteos!J9/Conteos!$D9</f>
        <v>0.0195538900111386</v>
      </c>
      <c r="J9" s="7" t="n">
        <f aca="false">Conteos!K9/Conteos!$D9</f>
        <v>0.0222413109554645</v>
      </c>
      <c r="K9" s="7" t="n">
        <f aca="false">Conteos!L9/Conteos!$D9</f>
        <v>0.00125922709509336</v>
      </c>
      <c r="L9" s="7" t="n">
        <f aca="false">Conteos!M9/Conteos!$D9</f>
        <v>0.000164247012403481</v>
      </c>
      <c r="M9" s="7" t="n">
        <f aca="false">SUM(H9:L9)</f>
        <v>0.0875030678321282</v>
      </c>
      <c r="N9" s="7" t="n">
        <f aca="false">SUM(I9:L9)</f>
        <v>0.0432186750740999</v>
      </c>
      <c r="O9" s="7" t="n">
        <f aca="false">SUM(G9:L9)</f>
        <v>0.131778021106685</v>
      </c>
      <c r="P9" s="7" t="n">
        <f aca="false">Conteos!N9/Conteos!D9</f>
        <v>0.52153665351432</v>
      </c>
    </row>
    <row r="10" customFormat="false" ht="15" hidden="false" customHeight="false" outlineLevel="0" collapsed="false">
      <c r="A10" s="4" t="str">
        <f aca="false">Conteos!A10</f>
        <v>ATs</v>
      </c>
      <c r="B10" s="4" t="str">
        <f aca="false">Conteos!B10</f>
        <v>Suited</v>
      </c>
      <c r="C10" s="6" t="n">
        <f aca="false">Conteos!C10</f>
        <v>4</v>
      </c>
      <c r="D10" s="7" t="n">
        <f aca="false">Conteos!E10/Conteos!$D10</f>
        <v>0.175765542109536</v>
      </c>
      <c r="E10" s="7" t="n">
        <f aca="false">Conteos!F10/Conteos!$D10</f>
        <v>0.428650720232589</v>
      </c>
      <c r="F10" s="7" t="n">
        <f aca="false">Conteos!G10/Conteos!$D10</f>
        <v>0.22139930902981</v>
      </c>
      <c r="G10" s="7" t="n">
        <f aca="false">Conteos!H10/Conteos!$D10</f>
        <v>0.0434235118654307</v>
      </c>
      <c r="H10" s="7" t="n">
        <f aca="false">Conteos!I10/Conteos!$D10</f>
        <v>0.0414398044139025</v>
      </c>
      <c r="I10" s="7" t="n">
        <f aca="false">Conteos!J10/Conteos!$D10</f>
        <v>0.0652098397175707</v>
      </c>
      <c r="J10" s="7" t="n">
        <f aca="false">Conteos!K10/Conteos!$D10</f>
        <v>0.0222413109554645</v>
      </c>
      <c r="K10" s="7" t="n">
        <f aca="false">Conteos!L10/Conteos!$D10</f>
        <v>0.00125922709509336</v>
      </c>
      <c r="L10" s="7" t="n">
        <f aca="false">Conteos!M10/Conteos!$D10</f>
        <v>0.000610734580603749</v>
      </c>
      <c r="M10" s="7" t="n">
        <f aca="false">SUM(H10:L10)</f>
        <v>0.130760916762635</v>
      </c>
      <c r="N10" s="7" t="n">
        <f aca="false">SUM(I10:L10)</f>
        <v>0.0893211123487323</v>
      </c>
      <c r="O10" s="7" t="n">
        <f aca="false">SUM(G10:L10)</f>
        <v>0.174184428628066</v>
      </c>
      <c r="P10" s="7" t="n">
        <f aca="false">Conteos!N10/Conteos!D10</f>
        <v>0.555058147218184</v>
      </c>
    </row>
    <row r="11" customFormat="false" ht="15" hidden="false" customHeight="false" outlineLevel="0" collapsed="false">
      <c r="A11" s="4" t="str">
        <f aca="false">Conteos!A11</f>
        <v>A9o</v>
      </c>
      <c r="B11" s="4" t="str">
        <f aca="false">Conteos!B11</f>
        <v>Offsuit</v>
      </c>
      <c r="C11" s="6" t="n">
        <f aca="false">Conteos!C11</f>
        <v>12</v>
      </c>
      <c r="D11" s="7" t="n">
        <f aca="false">Conteos!E11/Conteos!$D11</f>
        <v>0.197648624667258</v>
      </c>
      <c r="E11" s="7" t="n">
        <f aca="false">Conteos!F11/Conteos!$D11</f>
        <v>0.459982253771074</v>
      </c>
      <c r="F11" s="7" t="n">
        <f aca="false">Conteos!G11/Conteos!$D11</f>
        <v>0.227864411259416</v>
      </c>
      <c r="G11" s="7" t="n">
        <f aca="false">Conteos!H11/Conteos!$D11</f>
        <v>0.0445449225018407</v>
      </c>
      <c r="H11" s="7" t="n">
        <f aca="false">Conteos!I11/Conteos!$D11</f>
        <v>0.0267411127263116</v>
      </c>
      <c r="I11" s="7" t="n">
        <f aca="false">Conteos!J11/Conteos!$D11</f>
        <v>0.0195543619853122</v>
      </c>
      <c r="J11" s="7" t="n">
        <f aca="false">Conteos!K11/Conteos!$D11</f>
        <v>0.0222413109554645</v>
      </c>
      <c r="K11" s="7" t="n">
        <f aca="false">Conteos!L11/Conteos!$D11</f>
        <v>0.00125922709509336</v>
      </c>
      <c r="L11" s="7" t="n">
        <f aca="false">Conteos!M11/Conteos!$D11</f>
        <v>0.000163775038229908</v>
      </c>
      <c r="M11" s="7" t="n">
        <f aca="false">SUM(H11:L11)</f>
        <v>0.0699597878004116</v>
      </c>
      <c r="N11" s="7" t="n">
        <f aca="false">SUM(I11:L11)</f>
        <v>0.0432186750740999</v>
      </c>
      <c r="O11" s="7" t="n">
        <f aca="false">SUM(G11:L11)</f>
        <v>0.114504710302252</v>
      </c>
      <c r="P11" s="7" t="n">
        <f aca="false">Conteos!N11/Conteos!D11</f>
        <v>0.509513111442542</v>
      </c>
    </row>
    <row r="12" customFormat="false" ht="15" hidden="false" customHeight="false" outlineLevel="0" collapsed="false">
      <c r="A12" s="4" t="str">
        <f aca="false">Conteos!A12</f>
        <v>A9s</v>
      </c>
      <c r="B12" s="4" t="str">
        <f aca="false">Conteos!B12</f>
        <v>Suited</v>
      </c>
      <c r="C12" s="6" t="n">
        <f aca="false">Conteos!C12</f>
        <v>4</v>
      </c>
      <c r="D12" s="7" t="n">
        <f aca="false">Conteos!E12/Conteos!$D12</f>
        <v>0.182675244010648</v>
      </c>
      <c r="E12" s="7" t="n">
        <f aca="false">Conteos!F12/Conteos!$D12</f>
        <v>0.43673846967094</v>
      </c>
      <c r="F12" s="7" t="n">
        <f aca="false">Conteos!G12/Conteos!$D12</f>
        <v>0.222646736770564</v>
      </c>
      <c r="G12" s="7" t="n">
        <f aca="false">Conteos!H12/Conteos!$D12</f>
        <v>0.0436882893768053</v>
      </c>
      <c r="H12" s="7" t="n">
        <f aca="false">Conteos!I12/Conteos!$D12</f>
        <v>0.0249301478223112</v>
      </c>
      <c r="I12" s="7" t="n">
        <f aca="false">Conteos!J12/Conteos!$D12</f>
        <v>0.0656775661235817</v>
      </c>
      <c r="J12" s="7" t="n">
        <f aca="false">Conteos!K12/Conteos!$D12</f>
        <v>0.0222413109554645</v>
      </c>
      <c r="K12" s="7" t="n">
        <f aca="false">Conteos!L12/Conteos!$D12</f>
        <v>0.00125922709509336</v>
      </c>
      <c r="L12" s="7" t="n">
        <f aca="false">Conteos!M12/Conteos!$D12</f>
        <v>0.000143008174592686</v>
      </c>
      <c r="M12" s="7" t="n">
        <f aca="false">SUM(H12:L12)</f>
        <v>0.114251260171043</v>
      </c>
      <c r="N12" s="7" t="n">
        <f aca="false">SUM(I12:L12)</f>
        <v>0.0893211123487323</v>
      </c>
      <c r="O12" s="7" t="n">
        <f aca="false">SUM(G12:L12)</f>
        <v>0.157939549547849</v>
      </c>
      <c r="P12" s="7" t="n">
        <f aca="false">Conteos!N12/Conteos!D12</f>
        <v>0.543900677754913</v>
      </c>
    </row>
    <row r="13" customFormat="false" ht="15" hidden="false" customHeight="false" outlineLevel="0" collapsed="false">
      <c r="A13" s="4" t="str">
        <f aca="false">Conteos!A13</f>
        <v>A8o</v>
      </c>
      <c r="B13" s="4" t="str">
        <f aca="false">Conteos!B13</f>
        <v>Offsuit</v>
      </c>
      <c r="C13" s="6" t="n">
        <f aca="false">Conteos!C13</f>
        <v>12</v>
      </c>
      <c r="D13" s="7" t="n">
        <f aca="false">Conteos!E13/Conteos!$D13</f>
        <v>0.195312352508071</v>
      </c>
      <c r="E13" s="7" t="n">
        <f aca="false">Conteos!F13/Conteos!$D13</f>
        <v>0.458562555456965</v>
      </c>
      <c r="F13" s="7" t="n">
        <f aca="false">Conteos!G13/Conteos!$D13</f>
        <v>0.227864411259416</v>
      </c>
      <c r="G13" s="7" t="n">
        <f aca="false">Conteos!H13/Conteos!$D13</f>
        <v>0.0445449225018407</v>
      </c>
      <c r="H13" s="7" t="n">
        <f aca="false">Conteos!I13/Conteos!$D13</f>
        <v>0.0304970831996073</v>
      </c>
      <c r="I13" s="7" t="n">
        <f aca="false">Conteos!J13/Conteos!$D13</f>
        <v>0.0195543619853122</v>
      </c>
      <c r="J13" s="7" t="n">
        <f aca="false">Conteos!K13/Conteos!$D13</f>
        <v>0.0222413109554645</v>
      </c>
      <c r="K13" s="7" t="n">
        <f aca="false">Conteos!L13/Conteos!$D13</f>
        <v>0.00125922709509336</v>
      </c>
      <c r="L13" s="7" t="n">
        <f aca="false">Conteos!M13/Conteos!$D13</f>
        <v>0.000163775038229908</v>
      </c>
      <c r="M13" s="7" t="n">
        <f aca="false">SUM(H13:L13)</f>
        <v>0.0737157582737073</v>
      </c>
      <c r="N13" s="7" t="n">
        <f aca="false">SUM(I13:L13)</f>
        <v>0.0432186750740999</v>
      </c>
      <c r="O13" s="7" t="n">
        <f aca="false">SUM(G13:L13)</f>
        <v>0.118260680775548</v>
      </c>
      <c r="P13" s="7" t="n">
        <f aca="false">Conteos!N13/Conteos!D13</f>
        <v>0.512563008552172</v>
      </c>
    </row>
    <row r="14" customFormat="false" ht="15" hidden="false" customHeight="false" outlineLevel="0" collapsed="false">
      <c r="A14" s="4" t="str">
        <f aca="false">Conteos!A14</f>
        <v>A8s</v>
      </c>
      <c r="B14" s="4" t="str">
        <f aca="false">Conteos!B14</f>
        <v>Suited</v>
      </c>
      <c r="C14" s="6" t="n">
        <f aca="false">Conteos!C14</f>
        <v>4</v>
      </c>
      <c r="D14" s="7" t="n">
        <f aca="false">Conteos!E14/Conteos!$D14</f>
        <v>0.18051596216655</v>
      </c>
      <c r="E14" s="7" t="n">
        <f aca="false">Conteos!F14/Conteos!$D14</f>
        <v>0.435390511431215</v>
      </c>
      <c r="F14" s="7" t="n">
        <f aca="false">Conteos!G14/Conteos!$D14</f>
        <v>0.222646736770564</v>
      </c>
      <c r="G14" s="7" t="n">
        <f aca="false">Conteos!H14/Conteos!$D14</f>
        <v>0.0436882893768053</v>
      </c>
      <c r="H14" s="7" t="n">
        <f aca="false">Conteos!I14/Conteos!$D14</f>
        <v>0.0284373879061338</v>
      </c>
      <c r="I14" s="7" t="n">
        <f aca="false">Conteos!J14/Conteos!$D14</f>
        <v>0.0656567992599445</v>
      </c>
      <c r="J14" s="7" t="n">
        <f aca="false">Conteos!K14/Conteos!$D14</f>
        <v>0.0222413109554645</v>
      </c>
      <c r="K14" s="7" t="n">
        <f aca="false">Conteos!L14/Conteos!$D14</f>
        <v>0.00125922709509336</v>
      </c>
      <c r="L14" s="7" t="n">
        <f aca="false">Conteos!M14/Conteos!$D14</f>
        <v>0.000163775038229908</v>
      </c>
      <c r="M14" s="7" t="n">
        <f aca="false">SUM(H14:L14)</f>
        <v>0.117758500254866</v>
      </c>
      <c r="N14" s="7" t="n">
        <f aca="false">SUM(I14:L14)</f>
        <v>0.0893211123487323</v>
      </c>
      <c r="O14" s="7" t="n">
        <f aca="false">SUM(G14:L14)</f>
        <v>0.161446789631671</v>
      </c>
      <c r="P14" s="7" t="n">
        <f aca="false">Conteos!N14/Conteos!D14</f>
        <v>0.546724971209575</v>
      </c>
    </row>
    <row r="15" customFormat="false" ht="15" hidden="false" customHeight="false" outlineLevel="0" collapsed="false">
      <c r="A15" s="4" t="str">
        <f aca="false">Conteos!A15</f>
        <v>A7o</v>
      </c>
      <c r="B15" s="4" t="str">
        <f aca="false">Conteos!B15</f>
        <v>Offsuit</v>
      </c>
      <c r="C15" s="6" t="n">
        <f aca="false">Conteos!C15</f>
        <v>12</v>
      </c>
      <c r="D15" s="7" t="n">
        <f aca="false">Conteos!E15/Conteos!$D15</f>
        <v>0.195312352508071</v>
      </c>
      <c r="E15" s="7" t="n">
        <f aca="false">Conteos!F15/Conteos!$D15</f>
        <v>0.458562555456965</v>
      </c>
      <c r="F15" s="7" t="n">
        <f aca="false">Conteos!G15/Conteos!$D15</f>
        <v>0.227864411259416</v>
      </c>
      <c r="G15" s="7" t="n">
        <f aca="false">Conteos!H15/Conteos!$D15</f>
        <v>0.0445449225018407</v>
      </c>
      <c r="H15" s="7" t="n">
        <f aca="false">Conteos!I15/Conteos!$D15</f>
        <v>0.0304970831996073</v>
      </c>
      <c r="I15" s="7" t="n">
        <f aca="false">Conteos!J15/Conteos!$D15</f>
        <v>0.0195543619853122</v>
      </c>
      <c r="J15" s="7" t="n">
        <f aca="false">Conteos!K15/Conteos!$D15</f>
        <v>0.0222413109554645</v>
      </c>
      <c r="K15" s="7" t="n">
        <f aca="false">Conteos!L15/Conteos!$D15</f>
        <v>0.00125922709509336</v>
      </c>
      <c r="L15" s="7" t="n">
        <f aca="false">Conteos!M15/Conteos!$D15</f>
        <v>0.000163775038229908</v>
      </c>
      <c r="M15" s="7" t="n">
        <f aca="false">SUM(H15:L15)</f>
        <v>0.0737157582737073</v>
      </c>
      <c r="N15" s="7" t="n">
        <f aca="false">SUM(I15:L15)</f>
        <v>0.0432186750740999</v>
      </c>
      <c r="O15" s="7" t="n">
        <f aca="false">SUM(G15:L15)</f>
        <v>0.118260680775548</v>
      </c>
      <c r="P15" s="7" t="n">
        <f aca="false">Conteos!N15/Conteos!D15</f>
        <v>0.512563008552172</v>
      </c>
    </row>
    <row r="16" customFormat="false" ht="15" hidden="false" customHeight="false" outlineLevel="0" collapsed="false">
      <c r="A16" s="4" t="str">
        <f aca="false">Conteos!A16</f>
        <v>A7s</v>
      </c>
      <c r="B16" s="4" t="str">
        <f aca="false">Conteos!B16</f>
        <v>Suited</v>
      </c>
      <c r="C16" s="6" t="n">
        <f aca="false">Conteos!C16</f>
        <v>4</v>
      </c>
      <c r="D16" s="7" t="n">
        <f aca="false">Conteos!E16/Conteos!$D16</f>
        <v>0.18051596216655</v>
      </c>
      <c r="E16" s="7" t="n">
        <f aca="false">Conteos!F16/Conteos!$D16</f>
        <v>0.435390511431215</v>
      </c>
      <c r="F16" s="7" t="n">
        <f aca="false">Conteos!G16/Conteos!$D16</f>
        <v>0.222646736770564</v>
      </c>
      <c r="G16" s="7" t="n">
        <f aca="false">Conteos!H16/Conteos!$D16</f>
        <v>0.0436882893768053</v>
      </c>
      <c r="H16" s="7" t="n">
        <f aca="false">Conteos!I16/Conteos!$D16</f>
        <v>0.0284373879061338</v>
      </c>
      <c r="I16" s="7" t="n">
        <f aca="false">Conteos!J16/Conteos!$D16</f>
        <v>0.0656567992599445</v>
      </c>
      <c r="J16" s="7" t="n">
        <f aca="false">Conteos!K16/Conteos!$D16</f>
        <v>0.0222413109554645</v>
      </c>
      <c r="K16" s="7" t="n">
        <f aca="false">Conteos!L16/Conteos!$D16</f>
        <v>0.00125922709509336</v>
      </c>
      <c r="L16" s="7" t="n">
        <f aca="false">Conteos!M16/Conteos!$D16</f>
        <v>0.000163775038229908</v>
      </c>
      <c r="M16" s="7" t="n">
        <f aca="false">SUM(H16:L16)</f>
        <v>0.117758500254866</v>
      </c>
      <c r="N16" s="7" t="n">
        <f aca="false">SUM(I16:L16)</f>
        <v>0.0893211123487323</v>
      </c>
      <c r="O16" s="7" t="n">
        <f aca="false">SUM(G16:L16)</f>
        <v>0.161446789631671</v>
      </c>
      <c r="P16" s="7" t="n">
        <f aca="false">Conteos!N16/Conteos!D16</f>
        <v>0.546724971209575</v>
      </c>
    </row>
    <row r="17" customFormat="false" ht="15" hidden="false" customHeight="false" outlineLevel="0" collapsed="false">
      <c r="A17" s="4" t="str">
        <f aca="false">Conteos!A17</f>
        <v>A6o</v>
      </c>
      <c r="B17" s="4" t="str">
        <f aca="false">Conteos!B17</f>
        <v>Offsuit</v>
      </c>
      <c r="C17" s="6" t="n">
        <f aca="false">Conteos!C17</f>
        <v>12</v>
      </c>
      <c r="D17" s="7" t="n">
        <f aca="false">Conteos!E17/Conteos!$D17</f>
        <v>0.197648624667258</v>
      </c>
      <c r="E17" s="7" t="n">
        <f aca="false">Conteos!F17/Conteos!$D17</f>
        <v>0.459982253771074</v>
      </c>
      <c r="F17" s="7" t="n">
        <f aca="false">Conteos!G17/Conteos!$D17</f>
        <v>0.227864411259416</v>
      </c>
      <c r="G17" s="7" t="n">
        <f aca="false">Conteos!H17/Conteos!$D17</f>
        <v>0.0445449225018407</v>
      </c>
      <c r="H17" s="7" t="n">
        <f aca="false">Conteos!I17/Conteos!$D17</f>
        <v>0.0267411127263116</v>
      </c>
      <c r="I17" s="7" t="n">
        <f aca="false">Conteos!J17/Conteos!$D17</f>
        <v>0.0195543619853122</v>
      </c>
      <c r="J17" s="7" t="n">
        <f aca="false">Conteos!K17/Conteos!$D17</f>
        <v>0.0222413109554645</v>
      </c>
      <c r="K17" s="7" t="n">
        <f aca="false">Conteos!L17/Conteos!$D17</f>
        <v>0.00125922709509336</v>
      </c>
      <c r="L17" s="7" t="n">
        <f aca="false">Conteos!M17/Conteos!$D17</f>
        <v>0.000163775038229908</v>
      </c>
      <c r="M17" s="7" t="n">
        <f aca="false">SUM(H17:L17)</f>
        <v>0.0699597878004116</v>
      </c>
      <c r="N17" s="7" t="n">
        <f aca="false">SUM(I17:L17)</f>
        <v>0.0432186750740999</v>
      </c>
      <c r="O17" s="7" t="n">
        <f aca="false">SUM(G17:L17)</f>
        <v>0.114504710302252</v>
      </c>
      <c r="P17" s="7" t="n">
        <f aca="false">Conteos!N17/Conteos!D17</f>
        <v>0.509513111442542</v>
      </c>
    </row>
    <row r="18" customFormat="false" ht="15" hidden="false" customHeight="false" outlineLevel="0" collapsed="false">
      <c r="A18" s="4" t="str">
        <f aca="false">Conteos!A18</f>
        <v>A6s</v>
      </c>
      <c r="B18" s="4" t="str">
        <f aca="false">Conteos!B18</f>
        <v>Suited</v>
      </c>
      <c r="C18" s="6" t="n">
        <f aca="false">Conteos!C18</f>
        <v>4</v>
      </c>
      <c r="D18" s="7" t="n">
        <f aca="false">Conteos!E18/Conteos!$D18</f>
        <v>0.182675244010648</v>
      </c>
      <c r="E18" s="7" t="n">
        <f aca="false">Conteos!F18/Conteos!$D18</f>
        <v>0.43673846967094</v>
      </c>
      <c r="F18" s="7" t="n">
        <f aca="false">Conteos!G18/Conteos!$D18</f>
        <v>0.222646736770564</v>
      </c>
      <c r="G18" s="7" t="n">
        <f aca="false">Conteos!H18/Conteos!$D18</f>
        <v>0.0436882893768053</v>
      </c>
      <c r="H18" s="7" t="n">
        <f aca="false">Conteos!I18/Conteos!$D18</f>
        <v>0.0249301478223112</v>
      </c>
      <c r="I18" s="7" t="n">
        <f aca="false">Conteos!J18/Conteos!$D18</f>
        <v>0.0656775661235817</v>
      </c>
      <c r="J18" s="7" t="n">
        <f aca="false">Conteos!K18/Conteos!$D18</f>
        <v>0.0222413109554645</v>
      </c>
      <c r="K18" s="7" t="n">
        <f aca="false">Conteos!L18/Conteos!$D18</f>
        <v>0.00125922709509336</v>
      </c>
      <c r="L18" s="7" t="n">
        <f aca="false">Conteos!M18/Conteos!$D18</f>
        <v>0.000143008174592686</v>
      </c>
      <c r="M18" s="7" t="n">
        <f aca="false">SUM(H18:L18)</f>
        <v>0.114251260171043</v>
      </c>
      <c r="N18" s="7" t="n">
        <f aca="false">SUM(I18:L18)</f>
        <v>0.0893211123487323</v>
      </c>
      <c r="O18" s="7" t="n">
        <f aca="false">SUM(G18:L18)</f>
        <v>0.157939549547849</v>
      </c>
      <c r="P18" s="7" t="n">
        <f aca="false">Conteos!N18/Conteos!D18</f>
        <v>0.543900677754913</v>
      </c>
    </row>
    <row r="19" customFormat="false" ht="15" hidden="false" customHeight="false" outlineLevel="0" collapsed="false">
      <c r="A19" s="4" t="str">
        <f aca="false">Conteos!A19</f>
        <v>A5o</v>
      </c>
      <c r="B19" s="4" t="str">
        <f aca="false">Conteos!B19</f>
        <v>Offsuit</v>
      </c>
      <c r="C19" s="6" t="n">
        <f aca="false">Conteos!C19</f>
        <v>12</v>
      </c>
      <c r="D19" s="7" t="n">
        <f aca="false">Conteos!E19/Conteos!$D19</f>
        <v>0.190172553757858</v>
      </c>
      <c r="E19" s="7" t="n">
        <f aca="false">Conteos!F19/Conteos!$D19</f>
        <v>0.451464063886424</v>
      </c>
      <c r="F19" s="7" t="n">
        <f aca="false">Conteos!G19/Conteos!$D19</f>
        <v>0.226585361249032</v>
      </c>
      <c r="G19" s="7" t="n">
        <f aca="false">Conteos!H19/Conteos!$D19</f>
        <v>0.0442749532745568</v>
      </c>
      <c r="H19" s="7" t="n">
        <f aca="false">Conteos!I19/Conteos!$D19</f>
        <v>0.0442843927580283</v>
      </c>
      <c r="I19" s="7" t="n">
        <f aca="false">Conteos!J19/Conteos!$D19</f>
        <v>0.0195538900111386</v>
      </c>
      <c r="J19" s="7" t="n">
        <f aca="false">Conteos!K19/Conteos!$D19</f>
        <v>0.0222413109554645</v>
      </c>
      <c r="K19" s="7" t="n">
        <f aca="false">Conteos!L19/Conteos!$D19</f>
        <v>0.00125922709509336</v>
      </c>
      <c r="L19" s="7" t="n">
        <f aca="false">Conteos!M19/Conteos!$D19</f>
        <v>0.000164247012403481</v>
      </c>
      <c r="M19" s="7" t="n">
        <f aca="false">SUM(H19:L19)</f>
        <v>0.0875030678321282</v>
      </c>
      <c r="N19" s="7" t="n">
        <f aca="false">SUM(I19:L19)</f>
        <v>0.0432186750740999</v>
      </c>
      <c r="O19" s="7" t="n">
        <f aca="false">SUM(G19:L19)</f>
        <v>0.131778021106685</v>
      </c>
      <c r="P19" s="7" t="n">
        <f aca="false">Conteos!N19/Conteos!D19</f>
        <v>0.52153665351432</v>
      </c>
    </row>
    <row r="20" customFormat="false" ht="15" hidden="false" customHeight="false" outlineLevel="0" collapsed="false">
      <c r="A20" s="4" t="str">
        <f aca="false">Conteos!A20</f>
        <v>A5s</v>
      </c>
      <c r="B20" s="4" t="str">
        <f aca="false">Conteos!B20</f>
        <v>Suited</v>
      </c>
      <c r="C20" s="6" t="n">
        <f aca="false">Conteos!C20</f>
        <v>4</v>
      </c>
      <c r="D20" s="7" t="n">
        <f aca="false">Conteos!E20/Conteos!$D20</f>
        <v>0.175765542109536</v>
      </c>
      <c r="E20" s="7" t="n">
        <f aca="false">Conteos!F20/Conteos!$D20</f>
        <v>0.428650720232589</v>
      </c>
      <c r="F20" s="7" t="n">
        <f aca="false">Conteos!G20/Conteos!$D20</f>
        <v>0.22139930902981</v>
      </c>
      <c r="G20" s="7" t="n">
        <f aca="false">Conteos!H20/Conteos!$D20</f>
        <v>0.0434235118654307</v>
      </c>
      <c r="H20" s="7" t="n">
        <f aca="false">Conteos!I20/Conteos!$D20</f>
        <v>0.0414398044139025</v>
      </c>
      <c r="I20" s="7" t="n">
        <f aca="false">Conteos!J20/Conteos!$D20</f>
        <v>0.0652098397175707</v>
      </c>
      <c r="J20" s="7" t="n">
        <f aca="false">Conteos!K20/Conteos!$D20</f>
        <v>0.0222413109554645</v>
      </c>
      <c r="K20" s="7" t="n">
        <f aca="false">Conteos!L20/Conteos!$D20</f>
        <v>0.00125922709509336</v>
      </c>
      <c r="L20" s="7" t="n">
        <f aca="false">Conteos!M20/Conteos!$D20</f>
        <v>0.000610734580603749</v>
      </c>
      <c r="M20" s="7" t="n">
        <f aca="false">SUM(H20:L20)</f>
        <v>0.130760916762635</v>
      </c>
      <c r="N20" s="7" t="n">
        <f aca="false">SUM(I20:L20)</f>
        <v>0.0893211123487323</v>
      </c>
      <c r="O20" s="7" t="n">
        <f aca="false">SUM(G20:L20)</f>
        <v>0.174184428628066</v>
      </c>
      <c r="P20" s="7" t="n">
        <f aca="false">Conteos!N20/Conteos!D20</f>
        <v>0.555058147218184</v>
      </c>
    </row>
    <row r="21" customFormat="false" ht="15" hidden="false" customHeight="false" outlineLevel="0" collapsed="false">
      <c r="A21" s="4" t="str">
        <f aca="false">Conteos!A21</f>
        <v>A4o</v>
      </c>
      <c r="B21" s="4" t="str">
        <f aca="false">Conteos!B21</f>
        <v>Offsuit</v>
      </c>
      <c r="C21" s="6" t="n">
        <f aca="false">Conteos!C21</f>
        <v>12</v>
      </c>
      <c r="D21" s="7" t="n">
        <f aca="false">Conteos!E21/Conteos!$D21</f>
        <v>0.192508825917046</v>
      </c>
      <c r="E21" s="7" t="n">
        <f aca="false">Conteos!F21/Conteos!$D21</f>
        <v>0.452883762200532</v>
      </c>
      <c r="F21" s="7" t="n">
        <f aca="false">Conteos!G21/Conteos!$D21</f>
        <v>0.226585361249032</v>
      </c>
      <c r="G21" s="7" t="n">
        <f aca="false">Conteos!H21/Conteos!$D21</f>
        <v>0.0442749532745568</v>
      </c>
      <c r="H21" s="7" t="n">
        <f aca="false">Conteos!I21/Conteos!$D21</f>
        <v>0.0405284222847326</v>
      </c>
      <c r="I21" s="7" t="n">
        <f aca="false">Conteos!J21/Conteos!$D21</f>
        <v>0.0195746568747758</v>
      </c>
      <c r="J21" s="7" t="n">
        <f aca="false">Conteos!K21/Conteos!$D21</f>
        <v>0.0222413109554645</v>
      </c>
      <c r="K21" s="7" t="n">
        <f aca="false">Conteos!L21/Conteos!$D21</f>
        <v>0.00125922709509336</v>
      </c>
      <c r="L21" s="7" t="n">
        <f aca="false">Conteos!M21/Conteos!$D21</f>
        <v>0.00014348014876626</v>
      </c>
      <c r="M21" s="7" t="n">
        <f aca="false">SUM(H21:L21)</f>
        <v>0.0837470973588325</v>
      </c>
      <c r="N21" s="7" t="n">
        <f aca="false">SUM(I21:L21)</f>
        <v>0.0432186750740999</v>
      </c>
      <c r="O21" s="7" t="n">
        <f aca="false">SUM(G21:L21)</f>
        <v>0.128022050633389</v>
      </c>
      <c r="P21" s="7" t="n">
        <f aca="false">Conteos!N21/Conteos!D21</f>
        <v>0.51836923483547</v>
      </c>
    </row>
    <row r="22" customFormat="false" ht="15" hidden="false" customHeight="false" outlineLevel="0" collapsed="false">
      <c r="A22" s="4" t="str">
        <f aca="false">Conteos!A22</f>
        <v>A4s</v>
      </c>
      <c r="B22" s="4" t="str">
        <f aca="false">Conteos!B22</f>
        <v>Suited</v>
      </c>
      <c r="C22" s="6" t="n">
        <f aca="false">Conteos!C22</f>
        <v>4</v>
      </c>
      <c r="D22" s="7" t="n">
        <f aca="false">Conteos!E22/Conteos!$D22</f>
        <v>0.177924823953633</v>
      </c>
      <c r="E22" s="7" t="n">
        <f aca="false">Conteos!F22/Conteos!$D22</f>
        <v>0.429998678472314</v>
      </c>
      <c r="F22" s="7" t="n">
        <f aca="false">Conteos!G22/Conteos!$D22</f>
        <v>0.22139930902981</v>
      </c>
      <c r="G22" s="7" t="n">
        <f aca="false">Conteos!H22/Conteos!$D22</f>
        <v>0.0434235118654307</v>
      </c>
      <c r="H22" s="7" t="n">
        <f aca="false">Conteos!I22/Conteos!$D22</f>
        <v>0.0379325643300799</v>
      </c>
      <c r="I22" s="7" t="n">
        <f aca="false">Conteos!J22/Conteos!$D22</f>
        <v>0.0652306065812079</v>
      </c>
      <c r="J22" s="7" t="n">
        <f aca="false">Conteos!K22/Conteos!$D22</f>
        <v>0.0222413109554645</v>
      </c>
      <c r="K22" s="7" t="n">
        <f aca="false">Conteos!L22/Conteos!$D22</f>
        <v>0.00125922709509336</v>
      </c>
      <c r="L22" s="7" t="n">
        <f aca="false">Conteos!M22/Conteos!$D22</f>
        <v>0.000589967716966528</v>
      </c>
      <c r="M22" s="7" t="n">
        <f aca="false">SUM(H22:L22)</f>
        <v>0.127253676678812</v>
      </c>
      <c r="N22" s="7" t="n">
        <f aca="false">SUM(I22:L22)</f>
        <v>0.0893211123487323</v>
      </c>
      <c r="O22" s="7" t="n">
        <f aca="false">SUM(G22:L22)</f>
        <v>0.170677188544243</v>
      </c>
      <c r="P22" s="7" t="n">
        <f aca="false">Conteos!N22/Conteos!D22</f>
        <v>0.552144178670543</v>
      </c>
    </row>
    <row r="23" customFormat="false" ht="15" hidden="false" customHeight="false" outlineLevel="0" collapsed="false">
      <c r="A23" s="4" t="str">
        <f aca="false">Conteos!A23</f>
        <v>A3o</v>
      </c>
      <c r="B23" s="4" t="str">
        <f aca="false">Conteos!B23</f>
        <v>Offsuit</v>
      </c>
      <c r="C23" s="6" t="n">
        <f aca="false">Conteos!C23</f>
        <v>12</v>
      </c>
      <c r="D23" s="7" t="n">
        <f aca="false">Conteos!E23/Conteos!$D23</f>
        <v>0.194845098076233</v>
      </c>
      <c r="E23" s="7" t="n">
        <f aca="false">Conteos!F23/Conteos!$D23</f>
        <v>0.454303460514641</v>
      </c>
      <c r="F23" s="7" t="n">
        <f aca="false">Conteos!G23/Conteos!$D23</f>
        <v>0.226585361249032</v>
      </c>
      <c r="G23" s="7" t="n">
        <f aca="false">Conteos!H23/Conteos!$D23</f>
        <v>0.0442749532745568</v>
      </c>
      <c r="H23" s="7" t="n">
        <f aca="false">Conteos!I23/Conteos!$D23</f>
        <v>0.0367724518114369</v>
      </c>
      <c r="I23" s="7" t="n">
        <f aca="false">Conteos!J23/Conteos!$D23</f>
        <v>0.019595423738413</v>
      </c>
      <c r="J23" s="7" t="n">
        <f aca="false">Conteos!K23/Conteos!$D23</f>
        <v>0.0222413109554645</v>
      </c>
      <c r="K23" s="7" t="n">
        <f aca="false">Conteos!L23/Conteos!$D23</f>
        <v>0.00125922709509336</v>
      </c>
      <c r="L23" s="7" t="n">
        <f aca="false">Conteos!M23/Conteos!$D23</f>
        <v>0.000122713285129038</v>
      </c>
      <c r="M23" s="7" t="n">
        <f aca="false">SUM(H23:L23)</f>
        <v>0.0799911268855368</v>
      </c>
      <c r="N23" s="7" t="n">
        <f aca="false">SUM(I23:L23)</f>
        <v>0.0432186750740999</v>
      </c>
      <c r="O23" s="7" t="n">
        <f aca="false">SUM(G23:L23)</f>
        <v>0.124266080160094</v>
      </c>
      <c r="P23" s="7" t="n">
        <f aca="false">Conteos!N23/Conteos!D23</f>
        <v>0.51520181615662</v>
      </c>
    </row>
    <row r="24" customFormat="false" ht="15" hidden="false" customHeight="false" outlineLevel="0" collapsed="false">
      <c r="A24" s="4" t="str">
        <f aca="false">Conteos!A24</f>
        <v>A3s</v>
      </c>
      <c r="B24" s="4" t="str">
        <f aca="false">Conteos!B24</f>
        <v>Suited</v>
      </c>
      <c r="C24" s="6" t="n">
        <f aca="false">Conteos!C24</f>
        <v>4</v>
      </c>
      <c r="D24" s="7" t="n">
        <f aca="false">Conteos!E24/Conteos!$D24</f>
        <v>0.180084105797731</v>
      </c>
      <c r="E24" s="7" t="n">
        <f aca="false">Conteos!F24/Conteos!$D24</f>
        <v>0.431346636712039</v>
      </c>
      <c r="F24" s="7" t="n">
        <f aca="false">Conteos!G24/Conteos!$D24</f>
        <v>0.22139930902981</v>
      </c>
      <c r="G24" s="7" t="n">
        <f aca="false">Conteos!H24/Conteos!$D24</f>
        <v>0.0434235118654307</v>
      </c>
      <c r="H24" s="7" t="n">
        <f aca="false">Conteos!I24/Conteos!$D24</f>
        <v>0.0344253242462572</v>
      </c>
      <c r="I24" s="7" t="n">
        <f aca="false">Conteos!J24/Conteos!$D24</f>
        <v>0.0652513734448451</v>
      </c>
      <c r="J24" s="7" t="n">
        <f aca="false">Conteos!K24/Conteos!$D24</f>
        <v>0.0222413109554645</v>
      </c>
      <c r="K24" s="7" t="n">
        <f aca="false">Conteos!L24/Conteos!$D24</f>
        <v>0.00125922709509336</v>
      </c>
      <c r="L24" s="7" t="n">
        <f aca="false">Conteos!M24/Conteos!$D24</f>
        <v>0.000569200853329306</v>
      </c>
      <c r="M24" s="7" t="n">
        <f aca="false">SUM(H24:L24)</f>
        <v>0.12374643659499</v>
      </c>
      <c r="N24" s="7" t="n">
        <f aca="false">SUM(I24:L24)</f>
        <v>0.0893211123487323</v>
      </c>
      <c r="O24" s="7" t="n">
        <f aca="false">SUM(G24:L24)</f>
        <v>0.16716994846042</v>
      </c>
      <c r="P24" s="7" t="n">
        <f aca="false">Conteos!N24/Conteos!D24</f>
        <v>0.549230210122902</v>
      </c>
    </row>
    <row r="25" customFormat="false" ht="15" hidden="false" customHeight="false" outlineLevel="0" collapsed="false">
      <c r="A25" s="4" t="str">
        <f aca="false">Conteos!A25</f>
        <v>A2o</v>
      </c>
      <c r="B25" s="4" t="str">
        <f aca="false">Conteos!B25</f>
        <v>Offsuit</v>
      </c>
      <c r="C25" s="6" t="n">
        <f aca="false">Conteos!C25</f>
        <v>12</v>
      </c>
      <c r="D25" s="7" t="n">
        <f aca="false">Conteos!E25/Conteos!$D25</f>
        <v>0.197181370235421</v>
      </c>
      <c r="E25" s="7" t="n">
        <f aca="false">Conteos!F25/Conteos!$D25</f>
        <v>0.455723158828749</v>
      </c>
      <c r="F25" s="7" t="n">
        <f aca="false">Conteos!G25/Conteos!$D25</f>
        <v>0.226585361249032</v>
      </c>
      <c r="G25" s="7" t="n">
        <f aca="false">Conteos!H25/Conteos!$D25</f>
        <v>0.0442749532745568</v>
      </c>
      <c r="H25" s="7" t="n">
        <f aca="false">Conteos!I25/Conteos!$D25</f>
        <v>0.0330164813381412</v>
      </c>
      <c r="I25" s="7" t="n">
        <f aca="false">Conteos!J25/Conteos!$D25</f>
        <v>0.0196161906020503</v>
      </c>
      <c r="J25" s="7" t="n">
        <f aca="false">Conteos!K25/Conteos!$D25</f>
        <v>0.0222413109554645</v>
      </c>
      <c r="K25" s="7" t="n">
        <f aca="false">Conteos!L25/Conteos!$D25</f>
        <v>0.00125922709509336</v>
      </c>
      <c r="L25" s="7" t="n">
        <f aca="false">Conteos!M25/Conteos!$D25</f>
        <v>0.000101946421491816</v>
      </c>
      <c r="M25" s="7" t="n">
        <f aca="false">SUM(H25:L25)</f>
        <v>0.0762351564122411</v>
      </c>
      <c r="N25" s="7" t="n">
        <f aca="false">SUM(I25:L25)</f>
        <v>0.0432186750740999</v>
      </c>
      <c r="O25" s="7" t="n">
        <f aca="false">SUM(G25:L25)</f>
        <v>0.120510109686798</v>
      </c>
      <c r="P25" s="7" t="n">
        <f aca="false">Conteos!N25/Conteos!D25</f>
        <v>0.51203439747777</v>
      </c>
    </row>
    <row r="26" customFormat="false" ht="15" hidden="false" customHeight="false" outlineLevel="0" collapsed="false">
      <c r="A26" s="4" t="str">
        <f aca="false">Conteos!A26</f>
        <v>A2s</v>
      </c>
      <c r="B26" s="4" t="str">
        <f aca="false">Conteos!B26</f>
        <v>Suited</v>
      </c>
      <c r="C26" s="6" t="n">
        <f aca="false">Conteos!C26</f>
        <v>4</v>
      </c>
      <c r="D26" s="7" t="n">
        <f aca="false">Conteos!E26/Conteos!$D26</f>
        <v>0.182243387641828</v>
      </c>
      <c r="E26" s="7" t="n">
        <f aca="false">Conteos!F26/Conteos!$D26</f>
        <v>0.432694594951764</v>
      </c>
      <c r="F26" s="7" t="n">
        <f aca="false">Conteos!G26/Conteos!$D26</f>
        <v>0.22139930902981</v>
      </c>
      <c r="G26" s="7" t="n">
        <f aca="false">Conteos!H26/Conteos!$D26</f>
        <v>0.0434235118654307</v>
      </c>
      <c r="H26" s="7" t="n">
        <f aca="false">Conteos!I26/Conteos!$D26</f>
        <v>0.0309180841624346</v>
      </c>
      <c r="I26" s="7" t="n">
        <f aca="false">Conteos!J26/Conteos!$D26</f>
        <v>0.0652721403084823</v>
      </c>
      <c r="J26" s="7" t="n">
        <f aca="false">Conteos!K26/Conteos!$D26</f>
        <v>0.0222413109554645</v>
      </c>
      <c r="K26" s="7" t="n">
        <f aca="false">Conteos!L26/Conteos!$D26</f>
        <v>0.00125922709509336</v>
      </c>
      <c r="L26" s="7" t="n">
        <f aca="false">Conteos!M26/Conteos!$D26</f>
        <v>0.000548433989692084</v>
      </c>
      <c r="M26" s="7" t="n">
        <f aca="false">SUM(H26:L26)</f>
        <v>0.120239196511167</v>
      </c>
      <c r="N26" s="7" t="n">
        <f aca="false">SUM(I26:L26)</f>
        <v>0.0893211123487323</v>
      </c>
      <c r="O26" s="7" t="n">
        <f aca="false">SUM(G26:L26)</f>
        <v>0.163662708376598</v>
      </c>
      <c r="P26" s="7" t="n">
        <f aca="false">Conteos!N26/Conteos!D26</f>
        <v>0.546316241575261</v>
      </c>
    </row>
    <row r="27" customFormat="false" ht="15" hidden="false" customHeight="false" outlineLevel="0" collapsed="false">
      <c r="A27" s="4" t="str">
        <f aca="false">Conteos!A27</f>
        <v>KK</v>
      </c>
      <c r="B27" s="4" t="str">
        <f aca="false">Conteos!B27</f>
        <v>Pareja</v>
      </c>
      <c r="C27" s="6" t="n">
        <f aca="false">Conteos!C27</f>
        <v>6</v>
      </c>
      <c r="D27" s="7" t="n">
        <f aca="false">Conteos!E27/Conteos!$D27</f>
        <v>0</v>
      </c>
      <c r="E27" s="7" t="n">
        <f aca="false">Conteos!F27/Conteos!$D27</f>
        <v>0.359785912514867</v>
      </c>
      <c r="F27" s="7" t="n">
        <f aca="false">Conteos!G27/Conteos!$D27</f>
        <v>0.396673526024656</v>
      </c>
      <c r="G27" s="7" t="n">
        <f aca="false">Conteos!H27/Conteos!$D27</f>
        <v>0.117737733391229</v>
      </c>
      <c r="H27" s="7" t="n">
        <f aca="false">Conteos!I27/Conteos!$D27</f>
        <v>0.0121844852649663</v>
      </c>
      <c r="I27" s="7" t="n">
        <f aca="false">Conteos!J27/Conteos!$D27</f>
        <v>0.0196161906020503</v>
      </c>
      <c r="J27" s="7" t="n">
        <f aca="false">Conteos!K27/Conteos!$D27</f>
        <v>0.0854764107308048</v>
      </c>
      <c r="K27" s="7" t="n">
        <f aca="false">Conteos!L27/Conteos!$D27</f>
        <v>0.00842379504993487</v>
      </c>
      <c r="L27" s="7" t="n">
        <f aca="false">Conteos!M27/Conteos!$D27</f>
        <v>0.000101946421491816</v>
      </c>
      <c r="M27" s="7" t="n">
        <f aca="false">SUM(H27:L27)</f>
        <v>0.125802828069248</v>
      </c>
      <c r="N27" s="7" t="n">
        <f aca="false">SUM(I27:L27)</f>
        <v>0.113618342804282</v>
      </c>
      <c r="O27" s="7" t="n">
        <f aca="false">SUM(G27:L27)</f>
        <v>0.243540561460477</v>
      </c>
      <c r="P27" s="7" t="n">
        <f aca="false">Conteos!N27/Conteos!D27</f>
        <v>0.947222903962695</v>
      </c>
    </row>
    <row r="28" customFormat="false" ht="15" hidden="false" customHeight="false" outlineLevel="0" collapsed="false">
      <c r="A28" s="4" t="str">
        <f aca="false">Conteos!A28</f>
        <v>KQo</v>
      </c>
      <c r="B28" s="4" t="str">
        <f aca="false">Conteos!B28</f>
        <v>Offsuit</v>
      </c>
      <c r="C28" s="6" t="n">
        <f aca="false">Conteos!C28</f>
        <v>12</v>
      </c>
      <c r="D28" s="7" t="n">
        <f aca="false">Conteos!E28/Conteos!$D28</f>
        <v>0.190172553757858</v>
      </c>
      <c r="E28" s="7" t="n">
        <f aca="false">Conteos!F28/Conteos!$D28</f>
        <v>0.447204968944099</v>
      </c>
      <c r="F28" s="7" t="n">
        <f aca="false">Conteos!G28/Conteos!$D28</f>
        <v>0.225306311238649</v>
      </c>
      <c r="G28" s="7" t="n">
        <f aca="false">Conteos!H28/Conteos!$D28</f>
        <v>0.0440049840472729</v>
      </c>
      <c r="H28" s="7" t="n">
        <f aca="false">Conteos!I28/Conteos!$D28</f>
        <v>0.0500925069380204</v>
      </c>
      <c r="I28" s="7" t="n">
        <f aca="false">Conteos!J28/Conteos!$D28</f>
        <v>0.019595423738413</v>
      </c>
      <c r="J28" s="7" t="n">
        <f aca="false">Conteos!K28/Conteos!$D28</f>
        <v>0.0222413109554645</v>
      </c>
      <c r="K28" s="7" t="n">
        <f aca="false">Conteos!L28/Conteos!$D28</f>
        <v>0.00125922709509336</v>
      </c>
      <c r="L28" s="7" t="n">
        <f aca="false">Conteos!M28/Conteos!$D28</f>
        <v>0.000122713285129038</v>
      </c>
      <c r="M28" s="7" t="n">
        <f aca="false">SUM(H28:L28)</f>
        <v>0.0933111820121203</v>
      </c>
      <c r="N28" s="7" t="n">
        <f aca="false">SUM(I28:L28)</f>
        <v>0.0432186750740999</v>
      </c>
      <c r="O28" s="7" t="n">
        <f aca="false">SUM(G28:L28)</f>
        <v>0.137316166059393</v>
      </c>
      <c r="P28" s="7" t="n">
        <f aca="false">Conteos!N28/Conteos!D28</f>
        <v>0.523707734712757</v>
      </c>
    </row>
    <row r="29" customFormat="false" ht="15" hidden="false" customHeight="false" outlineLevel="0" collapsed="false">
      <c r="A29" s="4" t="str">
        <f aca="false">Conteos!A29</f>
        <v>KQs</v>
      </c>
      <c r="B29" s="4" t="str">
        <f aca="false">Conteos!B29</f>
        <v>Suited</v>
      </c>
      <c r="C29" s="6" t="n">
        <f aca="false">Conteos!C29</f>
        <v>4</v>
      </c>
      <c r="D29" s="7" t="n">
        <f aca="false">Conteos!E29/Conteos!$D29</f>
        <v>0.175765542109536</v>
      </c>
      <c r="E29" s="7" t="n">
        <f aca="false">Conteos!F29/Conteos!$D29</f>
        <v>0.424606845513414</v>
      </c>
      <c r="F29" s="7" t="n">
        <f aca="false">Conteos!G29/Conteos!$D29</f>
        <v>0.220151881289056</v>
      </c>
      <c r="G29" s="7" t="n">
        <f aca="false">Conteos!H29/Conteos!$D29</f>
        <v>0.0431587343540561</v>
      </c>
      <c r="H29" s="7" t="n">
        <f aca="false">Conteos!I29/Conteos!$D29</f>
        <v>0.0469958843852064</v>
      </c>
      <c r="I29" s="7" t="n">
        <f aca="false">Conteos!J29/Conteos!$D29</f>
        <v>0.0648048858766448</v>
      </c>
      <c r="J29" s="7" t="n">
        <f aca="false">Conteos!K29/Conteos!$D29</f>
        <v>0.0222413109554645</v>
      </c>
      <c r="K29" s="7" t="n">
        <f aca="false">Conteos!L29/Conteos!$D29</f>
        <v>0.00125922709509336</v>
      </c>
      <c r="L29" s="7" t="n">
        <f aca="false">Conteos!M29/Conteos!$D29</f>
        <v>0.00101568842152957</v>
      </c>
      <c r="M29" s="7" t="n">
        <f aca="false">SUM(H29:L29)</f>
        <v>0.136316996733939</v>
      </c>
      <c r="N29" s="7" t="n">
        <f aca="false">SUM(I29:L29)</f>
        <v>0.0893211123487323</v>
      </c>
      <c r="O29" s="7" t="n">
        <f aca="false">SUM(G29:L29)</f>
        <v>0.179475731087995</v>
      </c>
      <c r="P29" s="7" t="n">
        <f aca="false">Conteos!N29/Conteos!D29</f>
        <v>0.557131057788518</v>
      </c>
    </row>
    <row r="30" customFormat="false" ht="15" hidden="false" customHeight="false" outlineLevel="0" collapsed="false">
      <c r="A30" s="4" t="str">
        <f aca="false">Conteos!A30</f>
        <v>KJo</v>
      </c>
      <c r="B30" s="4" t="str">
        <f aca="false">Conteos!B30</f>
        <v>Offsuit</v>
      </c>
      <c r="C30" s="6" t="n">
        <f aca="false">Conteos!C30</f>
        <v>12</v>
      </c>
      <c r="D30" s="7" t="n">
        <f aca="false">Conteos!E30/Conteos!$D30</f>
        <v>0.187836281598671</v>
      </c>
      <c r="E30" s="7" t="n">
        <f aca="false">Conteos!F30/Conteos!$D30</f>
        <v>0.445785270629991</v>
      </c>
      <c r="F30" s="7" t="n">
        <f aca="false">Conteos!G30/Conteos!$D30</f>
        <v>0.225306311238649</v>
      </c>
      <c r="G30" s="7" t="n">
        <f aca="false">Conteos!H30/Conteos!$D30</f>
        <v>0.0440049840472729</v>
      </c>
      <c r="H30" s="7" t="n">
        <f aca="false">Conteos!I30/Conteos!$D30</f>
        <v>0.0538484774113161</v>
      </c>
      <c r="I30" s="7" t="n">
        <f aca="false">Conteos!J30/Conteos!$D30</f>
        <v>0.0195746568747758</v>
      </c>
      <c r="J30" s="7" t="n">
        <f aca="false">Conteos!K30/Conteos!$D30</f>
        <v>0.0222413109554645</v>
      </c>
      <c r="K30" s="7" t="n">
        <f aca="false">Conteos!L30/Conteos!$D30</f>
        <v>0.00125922709509336</v>
      </c>
      <c r="L30" s="7" t="n">
        <f aca="false">Conteos!M30/Conteos!$D30</f>
        <v>0.00014348014876626</v>
      </c>
      <c r="M30" s="7" t="n">
        <f aca="false">SUM(H30:L30)</f>
        <v>0.097067152485416</v>
      </c>
      <c r="N30" s="7" t="n">
        <f aca="false">SUM(I30:L30)</f>
        <v>0.0432186750740999</v>
      </c>
      <c r="O30" s="7" t="n">
        <f aca="false">SUM(G30:L30)</f>
        <v>0.141072136532689</v>
      </c>
      <c r="P30" s="7" t="n">
        <f aca="false">Conteos!N30/Conteos!D30</f>
        <v>0.526875153391606</v>
      </c>
    </row>
    <row r="31" customFormat="false" ht="15" hidden="false" customHeight="false" outlineLevel="0" collapsed="false">
      <c r="A31" s="4" t="str">
        <f aca="false">Conteos!A31</f>
        <v>KJs</v>
      </c>
      <c r="B31" s="4" t="str">
        <f aca="false">Conteos!B31</f>
        <v>Suited</v>
      </c>
      <c r="C31" s="6" t="n">
        <f aca="false">Conteos!C31</f>
        <v>4</v>
      </c>
      <c r="D31" s="7" t="n">
        <f aca="false">Conteos!E31/Conteos!$D31</f>
        <v>0.173606260265438</v>
      </c>
      <c r="E31" s="7" t="n">
        <f aca="false">Conteos!F31/Conteos!$D31</f>
        <v>0.423258887273688</v>
      </c>
      <c r="F31" s="7" t="n">
        <f aca="false">Conteos!G31/Conteos!$D31</f>
        <v>0.220151881289056</v>
      </c>
      <c r="G31" s="7" t="n">
        <f aca="false">Conteos!H31/Conteos!$D31</f>
        <v>0.0431587343540561</v>
      </c>
      <c r="H31" s="7" t="n">
        <f aca="false">Conteos!I31/Conteos!$D31</f>
        <v>0.0505031244690291</v>
      </c>
      <c r="I31" s="7" t="n">
        <f aca="false">Conteos!J31/Conteos!$D31</f>
        <v>0.0647841190130076</v>
      </c>
      <c r="J31" s="7" t="n">
        <f aca="false">Conteos!K31/Conteos!$D31</f>
        <v>0.0222413109554645</v>
      </c>
      <c r="K31" s="7" t="n">
        <f aca="false">Conteos!L31/Conteos!$D31</f>
        <v>0.00125922709509336</v>
      </c>
      <c r="L31" s="7" t="n">
        <f aca="false">Conteos!M31/Conteos!$D31</f>
        <v>0.0010364552851668</v>
      </c>
      <c r="M31" s="7" t="n">
        <f aca="false">SUM(H31:L31)</f>
        <v>0.139824236817761</v>
      </c>
      <c r="N31" s="7" t="n">
        <f aca="false">SUM(I31:L31)</f>
        <v>0.0893211123487323</v>
      </c>
      <c r="O31" s="7" t="n">
        <f aca="false">SUM(G31:L31)</f>
        <v>0.182982971171817</v>
      </c>
      <c r="P31" s="7" t="n">
        <f aca="false">Conteos!N31/Conteos!D31</f>
        <v>0.560045026336159</v>
      </c>
    </row>
    <row r="32" customFormat="false" ht="15" hidden="false" customHeight="false" outlineLevel="0" collapsed="false">
      <c r="A32" s="4" t="str">
        <f aca="false">Conteos!A32</f>
        <v>KTo</v>
      </c>
      <c r="B32" s="4" t="str">
        <f aca="false">Conteos!B32</f>
        <v>Offsuit</v>
      </c>
      <c r="C32" s="6" t="n">
        <f aca="false">Conteos!C32</f>
        <v>12</v>
      </c>
      <c r="D32" s="7" t="n">
        <f aca="false">Conteos!E32/Conteos!$D32</f>
        <v>0.185500009439483</v>
      </c>
      <c r="E32" s="7" t="n">
        <f aca="false">Conteos!F32/Conteos!$D32</f>
        <v>0.444365572315883</v>
      </c>
      <c r="F32" s="7" t="n">
        <f aca="false">Conteos!G32/Conteos!$D32</f>
        <v>0.225306311238649</v>
      </c>
      <c r="G32" s="7" t="n">
        <f aca="false">Conteos!H32/Conteos!$D32</f>
        <v>0.0440049840472729</v>
      </c>
      <c r="H32" s="7" t="n">
        <f aca="false">Conteos!I32/Conteos!$D32</f>
        <v>0.0576044478846118</v>
      </c>
      <c r="I32" s="7" t="n">
        <f aca="false">Conteos!J32/Conteos!$D32</f>
        <v>0.0195538900111386</v>
      </c>
      <c r="J32" s="7" t="n">
        <f aca="false">Conteos!K32/Conteos!$D32</f>
        <v>0.0222413109554645</v>
      </c>
      <c r="K32" s="7" t="n">
        <f aca="false">Conteos!L32/Conteos!$D32</f>
        <v>0.00125922709509336</v>
      </c>
      <c r="L32" s="7" t="n">
        <f aca="false">Conteos!M32/Conteos!$D32</f>
        <v>0.000164247012403481</v>
      </c>
      <c r="M32" s="7" t="n">
        <f aca="false">SUM(H32:L32)</f>
        <v>0.100823122958712</v>
      </c>
      <c r="N32" s="7" t="n">
        <f aca="false">SUM(I32:L32)</f>
        <v>0.0432186750740999</v>
      </c>
      <c r="O32" s="7" t="n">
        <f aca="false">SUM(G32:L32)</f>
        <v>0.144828107005985</v>
      </c>
      <c r="P32" s="7" t="n">
        <f aca="false">Conteos!N32/Conteos!D32</f>
        <v>0.530042572070456</v>
      </c>
    </row>
    <row r="33" customFormat="false" ht="15" hidden="false" customHeight="false" outlineLevel="0" collapsed="false">
      <c r="A33" s="4" t="str">
        <f aca="false">Conteos!A33</f>
        <v>KTs</v>
      </c>
      <c r="B33" s="4" t="str">
        <f aca="false">Conteos!B33</f>
        <v>Suited</v>
      </c>
      <c r="C33" s="6" t="n">
        <f aca="false">Conteos!C33</f>
        <v>4</v>
      </c>
      <c r="D33" s="7" t="n">
        <f aca="false">Conteos!E33/Conteos!$D33</f>
        <v>0.171446978421341</v>
      </c>
      <c r="E33" s="7" t="n">
        <f aca="false">Conteos!F33/Conteos!$D33</f>
        <v>0.421910929033963</v>
      </c>
      <c r="F33" s="7" t="n">
        <f aca="false">Conteos!G33/Conteos!$D33</f>
        <v>0.220151881289056</v>
      </c>
      <c r="G33" s="7" t="n">
        <f aca="false">Conteos!H33/Conteos!$D33</f>
        <v>0.0431587343540561</v>
      </c>
      <c r="H33" s="7" t="n">
        <f aca="false">Conteos!I33/Conteos!$D33</f>
        <v>0.0540103645528517</v>
      </c>
      <c r="I33" s="7" t="n">
        <f aca="false">Conteos!J33/Conteos!$D33</f>
        <v>0.0647633521493704</v>
      </c>
      <c r="J33" s="7" t="n">
        <f aca="false">Conteos!K33/Conteos!$D33</f>
        <v>0.0222413109554645</v>
      </c>
      <c r="K33" s="7" t="n">
        <f aca="false">Conteos!L33/Conteos!$D33</f>
        <v>0.00125922709509336</v>
      </c>
      <c r="L33" s="7" t="n">
        <f aca="false">Conteos!M33/Conteos!$D33</f>
        <v>0.00105722214880402</v>
      </c>
      <c r="M33" s="7" t="n">
        <f aca="false">SUM(H33:L33)</f>
        <v>0.143331476901584</v>
      </c>
      <c r="N33" s="7" t="n">
        <f aca="false">SUM(I33:L33)</f>
        <v>0.0893211123487323</v>
      </c>
      <c r="O33" s="7" t="n">
        <f aca="false">SUM(G33:L33)</f>
        <v>0.18649021125564</v>
      </c>
      <c r="P33" s="7" t="n">
        <f aca="false">Conteos!N33/Conteos!D33</f>
        <v>0.5629589948838</v>
      </c>
    </row>
    <row r="34" customFormat="false" ht="15" hidden="false" customHeight="false" outlineLevel="0" collapsed="false">
      <c r="A34" s="4" t="str">
        <f aca="false">Conteos!A34</f>
        <v>K9o</v>
      </c>
      <c r="B34" s="4" t="str">
        <f aca="false">Conteos!B34</f>
        <v>Offsuit</v>
      </c>
      <c r="C34" s="6" t="n">
        <f aca="false">Conteos!C34</f>
        <v>12</v>
      </c>
      <c r="D34" s="7" t="n">
        <f aca="false">Conteos!E34/Conteos!$D34</f>
        <v>0.192976080348883</v>
      </c>
      <c r="E34" s="7" t="n">
        <f aca="false">Conteos!F34/Conteos!$D34</f>
        <v>0.452883762200532</v>
      </c>
      <c r="F34" s="7" t="n">
        <f aca="false">Conteos!G34/Conteos!$D34</f>
        <v>0.226585361249032</v>
      </c>
      <c r="G34" s="7" t="n">
        <f aca="false">Conteos!H34/Conteos!$D34</f>
        <v>0.0442749532745568</v>
      </c>
      <c r="H34" s="7" t="n">
        <f aca="false">Conteos!I34/Conteos!$D34</f>
        <v>0.0400611678528951</v>
      </c>
      <c r="I34" s="7" t="n">
        <f aca="false">Conteos!J34/Conteos!$D34</f>
        <v>0.0195543619853122</v>
      </c>
      <c r="J34" s="7" t="n">
        <f aca="false">Conteos!K34/Conteos!$D34</f>
        <v>0.0222413109554645</v>
      </c>
      <c r="K34" s="7" t="n">
        <f aca="false">Conteos!L34/Conteos!$D34</f>
        <v>0.00125922709509336</v>
      </c>
      <c r="L34" s="7" t="n">
        <f aca="false">Conteos!M34/Conteos!$D34</f>
        <v>0.000163775038229908</v>
      </c>
      <c r="M34" s="7" t="n">
        <f aca="false">SUM(H34:L34)</f>
        <v>0.083279842926995</v>
      </c>
      <c r="N34" s="7" t="n">
        <f aca="false">SUM(I34:L34)</f>
        <v>0.0432186750740999</v>
      </c>
      <c r="O34" s="7" t="n">
        <f aca="false">SUM(G34:L34)</f>
        <v>0.127554796201552</v>
      </c>
      <c r="P34" s="7" t="n">
        <f aca="false">Conteos!N34/Conteos!D34</f>
        <v>0.518019029998678</v>
      </c>
    </row>
    <row r="35" customFormat="false" ht="15" hidden="false" customHeight="false" outlineLevel="0" collapsed="false">
      <c r="A35" s="4" t="str">
        <f aca="false">Conteos!A35</f>
        <v>K9s</v>
      </c>
      <c r="B35" s="4" t="str">
        <f aca="false">Conteos!B35</f>
        <v>Suited</v>
      </c>
      <c r="C35" s="6" t="n">
        <f aca="false">Conteos!C35</f>
        <v>4</v>
      </c>
      <c r="D35" s="7" t="n">
        <f aca="false">Conteos!E35/Conteos!$D35</f>
        <v>0.178356680322453</v>
      </c>
      <c r="E35" s="7" t="n">
        <f aca="false">Conteos!F35/Conteos!$D35</f>
        <v>0.429998678472314</v>
      </c>
      <c r="F35" s="7" t="n">
        <f aca="false">Conteos!G35/Conteos!$D35</f>
        <v>0.22139930902981</v>
      </c>
      <c r="G35" s="7" t="n">
        <f aca="false">Conteos!H35/Conteos!$D35</f>
        <v>0.0434235118654307</v>
      </c>
      <c r="H35" s="7" t="n">
        <f aca="false">Conteos!I35/Conteos!$D35</f>
        <v>0.0375007079612604</v>
      </c>
      <c r="I35" s="7" t="n">
        <f aca="false">Conteos!J35/Conteos!$D35</f>
        <v>0.0652310785553815</v>
      </c>
      <c r="J35" s="7" t="n">
        <f aca="false">Conteos!K35/Conteos!$D35</f>
        <v>0.0222413109554645</v>
      </c>
      <c r="K35" s="7" t="n">
        <f aca="false">Conteos!L35/Conteos!$D35</f>
        <v>0.00125922709509336</v>
      </c>
      <c r="L35" s="7" t="n">
        <f aca="false">Conteos!M35/Conteos!$D35</f>
        <v>0.000589495742792954</v>
      </c>
      <c r="M35" s="7" t="n">
        <f aca="false">SUM(H35:L35)</f>
        <v>0.126821820309993</v>
      </c>
      <c r="N35" s="7" t="n">
        <f aca="false">SUM(I35:L35)</f>
        <v>0.0893211123487323</v>
      </c>
      <c r="O35" s="7" t="n">
        <f aca="false">SUM(G35:L35)</f>
        <v>0.170245332175423</v>
      </c>
      <c r="P35" s="7" t="n">
        <f aca="false">Conteos!N35/Conteos!D35</f>
        <v>0.551801525420529</v>
      </c>
    </row>
    <row r="36" customFormat="false" ht="15" hidden="false" customHeight="false" outlineLevel="0" collapsed="false">
      <c r="A36" s="4" t="str">
        <f aca="false">Conteos!A36</f>
        <v>K8o</v>
      </c>
      <c r="B36" s="4" t="str">
        <f aca="false">Conteos!B36</f>
        <v>Offsuit</v>
      </c>
      <c r="C36" s="6" t="n">
        <f aca="false">Conteos!C36</f>
        <v>12</v>
      </c>
      <c r="D36" s="7" t="n">
        <f aca="false">Conteos!E36/Conteos!$D36</f>
        <v>0.197648624667258</v>
      </c>
      <c r="E36" s="7" t="n">
        <f aca="false">Conteos!F36/Conteos!$D36</f>
        <v>0.459982253771074</v>
      </c>
      <c r="F36" s="7" t="n">
        <f aca="false">Conteos!G36/Conteos!$D36</f>
        <v>0.227864411259416</v>
      </c>
      <c r="G36" s="7" t="n">
        <f aca="false">Conteos!H36/Conteos!$D36</f>
        <v>0.0445449225018407</v>
      </c>
      <c r="H36" s="7" t="n">
        <f aca="false">Conteos!I36/Conteos!$D36</f>
        <v>0.0267411127263116</v>
      </c>
      <c r="I36" s="7" t="n">
        <f aca="false">Conteos!J36/Conteos!$D36</f>
        <v>0.0195543619853122</v>
      </c>
      <c r="J36" s="7" t="n">
        <f aca="false">Conteos!K36/Conteos!$D36</f>
        <v>0.0222413109554645</v>
      </c>
      <c r="K36" s="7" t="n">
        <f aca="false">Conteos!L36/Conteos!$D36</f>
        <v>0.00125922709509336</v>
      </c>
      <c r="L36" s="7" t="n">
        <f aca="false">Conteos!M36/Conteos!$D36</f>
        <v>0.000163775038229908</v>
      </c>
      <c r="M36" s="7" t="n">
        <f aca="false">SUM(H36:L36)</f>
        <v>0.0699597878004116</v>
      </c>
      <c r="N36" s="7" t="n">
        <f aca="false">SUM(I36:L36)</f>
        <v>0.0432186750740999</v>
      </c>
      <c r="O36" s="7" t="n">
        <f aca="false">SUM(G36:L36)</f>
        <v>0.114504710302252</v>
      </c>
      <c r="P36" s="7" t="n">
        <f aca="false">Conteos!N36/Conteos!D36</f>
        <v>0.509513111442542</v>
      </c>
    </row>
    <row r="37" customFormat="false" ht="15" hidden="false" customHeight="false" outlineLevel="0" collapsed="false">
      <c r="A37" s="4" t="str">
        <f aca="false">Conteos!A37</f>
        <v>K8s</v>
      </c>
      <c r="B37" s="4" t="str">
        <f aca="false">Conteos!B37</f>
        <v>Suited</v>
      </c>
      <c r="C37" s="6" t="n">
        <f aca="false">Conteos!C37</f>
        <v>4</v>
      </c>
      <c r="D37" s="7" t="n">
        <f aca="false">Conteos!E37/Conteos!$D37</f>
        <v>0.182675244010648</v>
      </c>
      <c r="E37" s="7" t="n">
        <f aca="false">Conteos!F37/Conteos!$D37</f>
        <v>0.43673846967094</v>
      </c>
      <c r="F37" s="7" t="n">
        <f aca="false">Conteos!G37/Conteos!$D37</f>
        <v>0.222646736770564</v>
      </c>
      <c r="G37" s="7" t="n">
        <f aca="false">Conteos!H37/Conteos!$D37</f>
        <v>0.0436882893768053</v>
      </c>
      <c r="H37" s="7" t="n">
        <f aca="false">Conteos!I37/Conteos!$D37</f>
        <v>0.0249301478223112</v>
      </c>
      <c r="I37" s="7" t="n">
        <f aca="false">Conteos!J37/Conteos!$D37</f>
        <v>0.0656775661235817</v>
      </c>
      <c r="J37" s="7" t="n">
        <f aca="false">Conteos!K37/Conteos!$D37</f>
        <v>0.0222413109554645</v>
      </c>
      <c r="K37" s="7" t="n">
        <f aca="false">Conteos!L37/Conteos!$D37</f>
        <v>0.00125922709509336</v>
      </c>
      <c r="L37" s="7" t="n">
        <f aca="false">Conteos!M37/Conteos!$D37</f>
        <v>0.000143008174592686</v>
      </c>
      <c r="M37" s="7" t="n">
        <f aca="false">SUM(H37:L37)</f>
        <v>0.114251260171043</v>
      </c>
      <c r="N37" s="7" t="n">
        <f aca="false">SUM(I37:L37)</f>
        <v>0.0893211123487323</v>
      </c>
      <c r="O37" s="7" t="n">
        <f aca="false">SUM(G37:L37)</f>
        <v>0.157939549547849</v>
      </c>
      <c r="P37" s="7" t="n">
        <f aca="false">Conteos!N37/Conteos!D37</f>
        <v>0.543900677754913</v>
      </c>
    </row>
    <row r="38" customFormat="false" ht="15" hidden="false" customHeight="false" outlineLevel="0" collapsed="false">
      <c r="A38" s="4" t="str">
        <f aca="false">Conteos!A38</f>
        <v>K7o</v>
      </c>
      <c r="B38" s="4" t="str">
        <f aca="false">Conteos!B38</f>
        <v>Offsuit</v>
      </c>
      <c r="C38" s="6" t="n">
        <f aca="false">Conteos!C38</f>
        <v>12</v>
      </c>
      <c r="D38" s="7" t="n">
        <f aca="false">Conteos!E38/Conteos!$D38</f>
        <v>0.195312352508071</v>
      </c>
      <c r="E38" s="7" t="n">
        <f aca="false">Conteos!F38/Conteos!$D38</f>
        <v>0.458562555456965</v>
      </c>
      <c r="F38" s="7" t="n">
        <f aca="false">Conteos!G38/Conteos!$D38</f>
        <v>0.227864411259416</v>
      </c>
      <c r="G38" s="7" t="n">
        <f aca="false">Conteos!H38/Conteos!$D38</f>
        <v>0.0445449225018407</v>
      </c>
      <c r="H38" s="7" t="n">
        <f aca="false">Conteos!I38/Conteos!$D38</f>
        <v>0.0304970831996073</v>
      </c>
      <c r="I38" s="7" t="n">
        <f aca="false">Conteos!J38/Conteos!$D38</f>
        <v>0.0195543619853122</v>
      </c>
      <c r="J38" s="7" t="n">
        <f aca="false">Conteos!K38/Conteos!$D38</f>
        <v>0.0222413109554645</v>
      </c>
      <c r="K38" s="7" t="n">
        <f aca="false">Conteos!L38/Conteos!$D38</f>
        <v>0.00125922709509336</v>
      </c>
      <c r="L38" s="7" t="n">
        <f aca="false">Conteos!M38/Conteos!$D38</f>
        <v>0.000163775038229908</v>
      </c>
      <c r="M38" s="7" t="n">
        <f aca="false">SUM(H38:L38)</f>
        <v>0.0737157582737073</v>
      </c>
      <c r="N38" s="7" t="n">
        <f aca="false">SUM(I38:L38)</f>
        <v>0.0432186750740999</v>
      </c>
      <c r="O38" s="7" t="n">
        <f aca="false">SUM(G38:L38)</f>
        <v>0.118260680775548</v>
      </c>
      <c r="P38" s="7" t="n">
        <f aca="false">Conteos!N38/Conteos!D38</f>
        <v>0.512563008552172</v>
      </c>
    </row>
    <row r="39" customFormat="false" ht="15" hidden="false" customHeight="false" outlineLevel="0" collapsed="false">
      <c r="A39" s="4" t="str">
        <f aca="false">Conteos!A39</f>
        <v>K7s</v>
      </c>
      <c r="B39" s="4" t="str">
        <f aca="false">Conteos!B39</f>
        <v>Suited</v>
      </c>
      <c r="C39" s="6" t="n">
        <f aca="false">Conteos!C39</f>
        <v>4</v>
      </c>
      <c r="D39" s="7" t="n">
        <f aca="false">Conteos!E39/Conteos!$D39</f>
        <v>0.18051596216655</v>
      </c>
      <c r="E39" s="7" t="n">
        <f aca="false">Conteos!F39/Conteos!$D39</f>
        <v>0.435390511431215</v>
      </c>
      <c r="F39" s="7" t="n">
        <f aca="false">Conteos!G39/Conteos!$D39</f>
        <v>0.222646736770564</v>
      </c>
      <c r="G39" s="7" t="n">
        <f aca="false">Conteos!H39/Conteos!$D39</f>
        <v>0.0436882893768053</v>
      </c>
      <c r="H39" s="7" t="n">
        <f aca="false">Conteos!I39/Conteos!$D39</f>
        <v>0.0284373879061338</v>
      </c>
      <c r="I39" s="7" t="n">
        <f aca="false">Conteos!J39/Conteos!$D39</f>
        <v>0.0656567992599445</v>
      </c>
      <c r="J39" s="7" t="n">
        <f aca="false">Conteos!K39/Conteos!$D39</f>
        <v>0.0222413109554645</v>
      </c>
      <c r="K39" s="7" t="n">
        <f aca="false">Conteos!L39/Conteos!$D39</f>
        <v>0.00125922709509336</v>
      </c>
      <c r="L39" s="7" t="n">
        <f aca="false">Conteos!M39/Conteos!$D39</f>
        <v>0.000163775038229908</v>
      </c>
      <c r="M39" s="7" t="n">
        <f aca="false">SUM(H39:L39)</f>
        <v>0.117758500254866</v>
      </c>
      <c r="N39" s="7" t="n">
        <f aca="false">SUM(I39:L39)</f>
        <v>0.0893211123487323</v>
      </c>
      <c r="O39" s="7" t="n">
        <f aca="false">SUM(G39:L39)</f>
        <v>0.161446789631671</v>
      </c>
      <c r="P39" s="7" t="n">
        <f aca="false">Conteos!N39/Conteos!D39</f>
        <v>0.546724971209575</v>
      </c>
    </row>
    <row r="40" customFormat="false" ht="15" hidden="false" customHeight="false" outlineLevel="0" collapsed="false">
      <c r="A40" s="4" t="str">
        <f aca="false">Conteos!A40</f>
        <v>K6o</v>
      </c>
      <c r="B40" s="4" t="str">
        <f aca="false">Conteos!B40</f>
        <v>Offsuit</v>
      </c>
      <c r="C40" s="6" t="n">
        <f aca="false">Conteos!C40</f>
        <v>12</v>
      </c>
      <c r="D40" s="7" t="n">
        <f aca="false">Conteos!E40/Conteos!$D40</f>
        <v>0.195312352508071</v>
      </c>
      <c r="E40" s="7" t="n">
        <f aca="false">Conteos!F40/Conteos!$D40</f>
        <v>0.458562555456965</v>
      </c>
      <c r="F40" s="7" t="n">
        <f aca="false">Conteos!G40/Conteos!$D40</f>
        <v>0.227864411259416</v>
      </c>
      <c r="G40" s="7" t="n">
        <f aca="false">Conteos!H40/Conteos!$D40</f>
        <v>0.0445449225018407</v>
      </c>
      <c r="H40" s="7" t="n">
        <f aca="false">Conteos!I40/Conteos!$D40</f>
        <v>0.0304970831996073</v>
      </c>
      <c r="I40" s="7" t="n">
        <f aca="false">Conteos!J40/Conteos!$D40</f>
        <v>0.0195543619853122</v>
      </c>
      <c r="J40" s="7" t="n">
        <f aca="false">Conteos!K40/Conteos!$D40</f>
        <v>0.0222413109554645</v>
      </c>
      <c r="K40" s="7" t="n">
        <f aca="false">Conteos!L40/Conteos!$D40</f>
        <v>0.00125922709509336</v>
      </c>
      <c r="L40" s="7" t="n">
        <f aca="false">Conteos!M40/Conteos!$D40</f>
        <v>0.000163775038229908</v>
      </c>
      <c r="M40" s="7" t="n">
        <f aca="false">SUM(H40:L40)</f>
        <v>0.0737157582737073</v>
      </c>
      <c r="N40" s="7" t="n">
        <f aca="false">SUM(I40:L40)</f>
        <v>0.0432186750740999</v>
      </c>
      <c r="O40" s="7" t="n">
        <f aca="false">SUM(G40:L40)</f>
        <v>0.118260680775548</v>
      </c>
      <c r="P40" s="7" t="n">
        <f aca="false">Conteos!N40/Conteos!D40</f>
        <v>0.512563008552172</v>
      </c>
    </row>
    <row r="41" customFormat="false" ht="15" hidden="false" customHeight="false" outlineLevel="0" collapsed="false">
      <c r="A41" s="4" t="str">
        <f aca="false">Conteos!A41</f>
        <v>K6s</v>
      </c>
      <c r="B41" s="4" t="str">
        <f aca="false">Conteos!B41</f>
        <v>Suited</v>
      </c>
      <c r="C41" s="6" t="n">
        <f aca="false">Conteos!C41</f>
        <v>4</v>
      </c>
      <c r="D41" s="7" t="n">
        <f aca="false">Conteos!E41/Conteos!$D41</f>
        <v>0.18051596216655</v>
      </c>
      <c r="E41" s="7" t="n">
        <f aca="false">Conteos!F41/Conteos!$D41</f>
        <v>0.435390511431215</v>
      </c>
      <c r="F41" s="7" t="n">
        <f aca="false">Conteos!G41/Conteos!$D41</f>
        <v>0.222646736770564</v>
      </c>
      <c r="G41" s="7" t="n">
        <f aca="false">Conteos!H41/Conteos!$D41</f>
        <v>0.0436882893768053</v>
      </c>
      <c r="H41" s="7" t="n">
        <f aca="false">Conteos!I41/Conteos!$D41</f>
        <v>0.0284373879061338</v>
      </c>
      <c r="I41" s="7" t="n">
        <f aca="false">Conteos!J41/Conteos!$D41</f>
        <v>0.0656567992599445</v>
      </c>
      <c r="J41" s="7" t="n">
        <f aca="false">Conteos!K41/Conteos!$D41</f>
        <v>0.0222413109554645</v>
      </c>
      <c r="K41" s="7" t="n">
        <f aca="false">Conteos!L41/Conteos!$D41</f>
        <v>0.00125922709509336</v>
      </c>
      <c r="L41" s="7" t="n">
        <f aca="false">Conteos!M41/Conteos!$D41</f>
        <v>0.000163775038229908</v>
      </c>
      <c r="M41" s="7" t="n">
        <f aca="false">SUM(H41:L41)</f>
        <v>0.117758500254866</v>
      </c>
      <c r="N41" s="7" t="n">
        <f aca="false">SUM(I41:L41)</f>
        <v>0.0893211123487323</v>
      </c>
      <c r="O41" s="7" t="n">
        <f aca="false">SUM(G41:L41)</f>
        <v>0.161446789631671</v>
      </c>
      <c r="P41" s="7" t="n">
        <f aca="false">Conteos!N41/Conteos!D41</f>
        <v>0.546724971209575</v>
      </c>
    </row>
    <row r="42" customFormat="false" ht="15" hidden="false" customHeight="false" outlineLevel="0" collapsed="false">
      <c r="A42" s="4" t="str">
        <f aca="false">Conteos!A42</f>
        <v>K5o</v>
      </c>
      <c r="B42" s="4" t="str">
        <f aca="false">Conteos!B42</f>
        <v>Offsuit</v>
      </c>
      <c r="C42" s="6" t="n">
        <f aca="false">Conteos!C42</f>
        <v>12</v>
      </c>
      <c r="D42" s="7" t="n">
        <f aca="false">Conteos!E42/Conteos!$D42</f>
        <v>0.194845098076233</v>
      </c>
      <c r="E42" s="7" t="n">
        <f aca="false">Conteos!F42/Conteos!$D42</f>
        <v>0.458562555456965</v>
      </c>
      <c r="F42" s="7" t="n">
        <f aca="false">Conteos!G42/Conteos!$D42</f>
        <v>0.227864411259416</v>
      </c>
      <c r="G42" s="7" t="n">
        <f aca="false">Conteos!H42/Conteos!$D42</f>
        <v>0.0445449225018407</v>
      </c>
      <c r="H42" s="7" t="n">
        <f aca="false">Conteos!I42/Conteos!$D42</f>
        <v>0.0309643376314448</v>
      </c>
      <c r="I42" s="7" t="n">
        <f aca="false">Conteos!J42/Conteos!$D42</f>
        <v>0.0195538900111386</v>
      </c>
      <c r="J42" s="7" t="n">
        <f aca="false">Conteos!K42/Conteos!$D42</f>
        <v>0.0222413109554645</v>
      </c>
      <c r="K42" s="7" t="n">
        <f aca="false">Conteos!L42/Conteos!$D42</f>
        <v>0.00125922709509336</v>
      </c>
      <c r="L42" s="7" t="n">
        <f aca="false">Conteos!M42/Conteos!$D42</f>
        <v>0.000164247012403481</v>
      </c>
      <c r="M42" s="7" t="n">
        <f aca="false">SUM(H42:L42)</f>
        <v>0.0741830127055448</v>
      </c>
      <c r="N42" s="7" t="n">
        <f aca="false">SUM(I42:L42)</f>
        <v>0.0432186750740999</v>
      </c>
      <c r="O42" s="7" t="n">
        <f aca="false">SUM(G42:L42)</f>
        <v>0.118727935207385</v>
      </c>
      <c r="P42" s="7" t="n">
        <f aca="false">Conteos!N42/Conteos!D42</f>
        <v>0.513030734958183</v>
      </c>
    </row>
    <row r="43" customFormat="false" ht="15" hidden="false" customHeight="false" outlineLevel="0" collapsed="false">
      <c r="A43" s="4" t="str">
        <f aca="false">Conteos!A43</f>
        <v>K5s</v>
      </c>
      <c r="B43" s="4" t="str">
        <f aca="false">Conteos!B43</f>
        <v>Suited</v>
      </c>
      <c r="C43" s="6" t="n">
        <f aca="false">Conteos!C43</f>
        <v>4</v>
      </c>
      <c r="D43" s="7" t="n">
        <f aca="false">Conteos!E43/Conteos!$D43</f>
        <v>0.180084105797731</v>
      </c>
      <c r="E43" s="7" t="n">
        <f aca="false">Conteos!F43/Conteos!$D43</f>
        <v>0.435390511431215</v>
      </c>
      <c r="F43" s="7" t="n">
        <f aca="false">Conteos!G43/Conteos!$D43</f>
        <v>0.222646736770564</v>
      </c>
      <c r="G43" s="7" t="n">
        <f aca="false">Conteos!H43/Conteos!$D43</f>
        <v>0.0436882893768053</v>
      </c>
      <c r="H43" s="7" t="n">
        <f aca="false">Conteos!I43/Conteos!$D43</f>
        <v>0.0288692442749533</v>
      </c>
      <c r="I43" s="7" t="n">
        <f aca="false">Conteos!J43/Conteos!$D43</f>
        <v>0.0656563272857709</v>
      </c>
      <c r="J43" s="7" t="n">
        <f aca="false">Conteos!K43/Conteos!$D43</f>
        <v>0.0222413109554645</v>
      </c>
      <c r="K43" s="7" t="n">
        <f aca="false">Conteos!L43/Conteos!$D43</f>
        <v>0.00125922709509336</v>
      </c>
      <c r="L43" s="7" t="n">
        <f aca="false">Conteos!M43/Conteos!$D43</f>
        <v>0.000164247012403481</v>
      </c>
      <c r="M43" s="7" t="n">
        <f aca="false">SUM(H43:L43)</f>
        <v>0.118190356623686</v>
      </c>
      <c r="N43" s="7" t="n">
        <f aca="false">SUM(I43:L43)</f>
        <v>0.0893211123487323</v>
      </c>
      <c r="O43" s="7" t="n">
        <f aca="false">SUM(G43:L43)</f>
        <v>0.161878646000491</v>
      </c>
      <c r="P43" s="7" t="n">
        <f aca="false">Conteos!N43/Conteos!D43</f>
        <v>0.547157299552569</v>
      </c>
    </row>
    <row r="44" customFormat="false" ht="15" hidden="false" customHeight="false" outlineLevel="0" collapsed="false">
      <c r="A44" s="4" t="str">
        <f aca="false">Conteos!A44</f>
        <v>K4o</v>
      </c>
      <c r="B44" s="4" t="str">
        <f aca="false">Conteos!B44</f>
        <v>Offsuit</v>
      </c>
      <c r="C44" s="6" t="n">
        <f aca="false">Conteos!C44</f>
        <v>12</v>
      </c>
      <c r="D44" s="7" t="n">
        <f aca="false">Conteos!E44/Conteos!$D44</f>
        <v>0.197181370235421</v>
      </c>
      <c r="E44" s="7" t="n">
        <f aca="false">Conteos!F44/Conteos!$D44</f>
        <v>0.459982253771074</v>
      </c>
      <c r="F44" s="7" t="n">
        <f aca="false">Conteos!G44/Conteos!$D44</f>
        <v>0.227864411259416</v>
      </c>
      <c r="G44" s="7" t="n">
        <f aca="false">Conteos!H44/Conteos!$D44</f>
        <v>0.0445449225018407</v>
      </c>
      <c r="H44" s="7" t="n">
        <f aca="false">Conteos!I44/Conteos!$D44</f>
        <v>0.0272083671581491</v>
      </c>
      <c r="I44" s="7" t="n">
        <f aca="false">Conteos!J44/Conteos!$D44</f>
        <v>0.0195746568747758</v>
      </c>
      <c r="J44" s="7" t="n">
        <f aca="false">Conteos!K44/Conteos!$D44</f>
        <v>0.0222413109554645</v>
      </c>
      <c r="K44" s="7" t="n">
        <f aca="false">Conteos!L44/Conteos!$D44</f>
        <v>0.00125922709509336</v>
      </c>
      <c r="L44" s="7" t="n">
        <f aca="false">Conteos!M44/Conteos!$D44</f>
        <v>0.00014348014876626</v>
      </c>
      <c r="M44" s="7" t="n">
        <f aca="false">SUM(H44:L44)</f>
        <v>0.0704270422322491</v>
      </c>
      <c r="N44" s="7" t="n">
        <f aca="false">SUM(I44:L44)</f>
        <v>0.0432186750740999</v>
      </c>
      <c r="O44" s="7" t="n">
        <f aca="false">SUM(G44:L44)</f>
        <v>0.11497196473409</v>
      </c>
      <c r="P44" s="7" t="n">
        <f aca="false">Conteos!N44/Conteos!D44</f>
        <v>0.509863316279333</v>
      </c>
    </row>
    <row r="45" customFormat="false" ht="15" hidden="false" customHeight="false" outlineLevel="0" collapsed="false">
      <c r="A45" s="4" t="str">
        <f aca="false">Conteos!A45</f>
        <v>K4s</v>
      </c>
      <c r="B45" s="4" t="str">
        <f aca="false">Conteos!B45</f>
        <v>Suited</v>
      </c>
      <c r="C45" s="6" t="n">
        <f aca="false">Conteos!C45</f>
        <v>4</v>
      </c>
      <c r="D45" s="7" t="n">
        <f aca="false">Conteos!E45/Conteos!$D45</f>
        <v>0.182243387641828</v>
      </c>
      <c r="E45" s="7" t="n">
        <f aca="false">Conteos!F45/Conteos!$D45</f>
        <v>0.43673846967094</v>
      </c>
      <c r="F45" s="7" t="n">
        <f aca="false">Conteos!G45/Conteos!$D45</f>
        <v>0.222646736770564</v>
      </c>
      <c r="G45" s="7" t="n">
        <f aca="false">Conteos!H45/Conteos!$D45</f>
        <v>0.0436882893768053</v>
      </c>
      <c r="H45" s="7" t="n">
        <f aca="false">Conteos!I45/Conteos!$D45</f>
        <v>0.0253620041911307</v>
      </c>
      <c r="I45" s="7" t="n">
        <f aca="false">Conteos!J45/Conteos!$D45</f>
        <v>0.0656770941494081</v>
      </c>
      <c r="J45" s="7" t="n">
        <f aca="false">Conteos!K45/Conteos!$D45</f>
        <v>0.0222413109554645</v>
      </c>
      <c r="K45" s="7" t="n">
        <f aca="false">Conteos!L45/Conteos!$D45</f>
        <v>0.00125922709509336</v>
      </c>
      <c r="L45" s="7" t="n">
        <f aca="false">Conteos!M45/Conteos!$D45</f>
        <v>0.00014348014876626</v>
      </c>
      <c r="M45" s="7" t="n">
        <f aca="false">SUM(H45:L45)</f>
        <v>0.114683116539863</v>
      </c>
      <c r="N45" s="7" t="n">
        <f aca="false">SUM(I45:L45)</f>
        <v>0.0893211123487323</v>
      </c>
      <c r="O45" s="7" t="n">
        <f aca="false">SUM(G45:L45)</f>
        <v>0.158371405916668</v>
      </c>
      <c r="P45" s="7" t="n">
        <f aca="false">Conteos!N45/Conteos!D45</f>
        <v>0.544243331004927</v>
      </c>
    </row>
    <row r="46" customFormat="false" ht="15" hidden="false" customHeight="false" outlineLevel="0" collapsed="false">
      <c r="A46" s="4" t="str">
        <f aca="false">Conteos!A46</f>
        <v>K3o</v>
      </c>
      <c r="B46" s="4" t="str">
        <f aca="false">Conteos!B46</f>
        <v>Offsuit</v>
      </c>
      <c r="C46" s="6" t="n">
        <f aca="false">Conteos!C46</f>
        <v>12</v>
      </c>
      <c r="D46" s="7" t="n">
        <f aca="false">Conteos!E46/Conteos!$D46</f>
        <v>0.199517642394608</v>
      </c>
      <c r="E46" s="7" t="n">
        <f aca="false">Conteos!F46/Conteos!$D46</f>
        <v>0.461401952085182</v>
      </c>
      <c r="F46" s="7" t="n">
        <f aca="false">Conteos!G46/Conteos!$D46</f>
        <v>0.227864411259416</v>
      </c>
      <c r="G46" s="7" t="n">
        <f aca="false">Conteos!H46/Conteos!$D46</f>
        <v>0.0445449225018407</v>
      </c>
      <c r="H46" s="7" t="n">
        <f aca="false">Conteos!I46/Conteos!$D46</f>
        <v>0.0234523966848534</v>
      </c>
      <c r="I46" s="7" t="n">
        <f aca="false">Conteos!J46/Conteos!$D46</f>
        <v>0.019595423738413</v>
      </c>
      <c r="J46" s="7" t="n">
        <f aca="false">Conteos!K46/Conteos!$D46</f>
        <v>0.0222413109554645</v>
      </c>
      <c r="K46" s="7" t="n">
        <f aca="false">Conteos!L46/Conteos!$D46</f>
        <v>0.00125922709509336</v>
      </c>
      <c r="L46" s="7" t="n">
        <f aca="false">Conteos!M46/Conteos!$D46</f>
        <v>0.000122713285129038</v>
      </c>
      <c r="M46" s="7" t="n">
        <f aca="false">SUM(H46:L46)</f>
        <v>0.0666710717589534</v>
      </c>
      <c r="N46" s="7" t="n">
        <f aca="false">SUM(I46:L46)</f>
        <v>0.0432186750740999</v>
      </c>
      <c r="O46" s="7" t="n">
        <f aca="false">SUM(G46:L46)</f>
        <v>0.111215994260794</v>
      </c>
      <c r="P46" s="7" t="n">
        <f aca="false">Conteos!N46/Conteos!D46</f>
        <v>0.506695897600483</v>
      </c>
    </row>
    <row r="47" customFormat="false" ht="15" hidden="false" customHeight="false" outlineLevel="0" collapsed="false">
      <c r="A47" s="4" t="str">
        <f aca="false">Conteos!A47</f>
        <v>K3s</v>
      </c>
      <c r="B47" s="4" t="str">
        <f aca="false">Conteos!B47</f>
        <v>Suited</v>
      </c>
      <c r="C47" s="6" t="n">
        <f aca="false">Conteos!C47</f>
        <v>4</v>
      </c>
      <c r="D47" s="7" t="n">
        <f aca="false">Conteos!E47/Conteos!$D47</f>
        <v>0.184402669485926</v>
      </c>
      <c r="E47" s="7" t="n">
        <f aca="false">Conteos!F47/Conteos!$D47</f>
        <v>0.438086427910665</v>
      </c>
      <c r="F47" s="7" t="n">
        <f aca="false">Conteos!G47/Conteos!$D47</f>
        <v>0.222646736770564</v>
      </c>
      <c r="G47" s="7" t="n">
        <f aca="false">Conteos!H47/Conteos!$D47</f>
        <v>0.0436882893768053</v>
      </c>
      <c r="H47" s="7" t="n">
        <f aca="false">Conteos!I47/Conteos!$D47</f>
        <v>0.021854764107308</v>
      </c>
      <c r="I47" s="7" t="n">
        <f aca="false">Conteos!J47/Conteos!$D47</f>
        <v>0.0656978610130454</v>
      </c>
      <c r="J47" s="7" t="n">
        <f aca="false">Conteos!K47/Conteos!$D47</f>
        <v>0.0222413109554645</v>
      </c>
      <c r="K47" s="7" t="n">
        <f aca="false">Conteos!L47/Conteos!$D47</f>
        <v>0.00125922709509336</v>
      </c>
      <c r="L47" s="7" t="n">
        <f aca="false">Conteos!M47/Conteos!$D47</f>
        <v>0.000122713285129038</v>
      </c>
      <c r="M47" s="7" t="n">
        <f aca="false">SUM(H47:L47)</f>
        <v>0.11117587645604</v>
      </c>
      <c r="N47" s="7" t="n">
        <f aca="false">SUM(I47:L47)</f>
        <v>0.0893211123487323</v>
      </c>
      <c r="O47" s="7" t="n">
        <f aca="false">SUM(G47:L47)</f>
        <v>0.154864165832846</v>
      </c>
      <c r="P47" s="7" t="n">
        <f aca="false">Conteos!N47/Conteos!D47</f>
        <v>0.541329362457286</v>
      </c>
    </row>
    <row r="48" customFormat="false" ht="15" hidden="false" customHeight="false" outlineLevel="0" collapsed="false">
      <c r="A48" s="4" t="str">
        <f aca="false">Conteos!A48</f>
        <v>K2o</v>
      </c>
      <c r="B48" s="4" t="str">
        <f aca="false">Conteos!B48</f>
        <v>Offsuit</v>
      </c>
      <c r="C48" s="6" t="n">
        <f aca="false">Conteos!C48</f>
        <v>12</v>
      </c>
      <c r="D48" s="7" t="n">
        <f aca="false">Conteos!E48/Conteos!$D48</f>
        <v>0.201853914553796</v>
      </c>
      <c r="E48" s="7" t="n">
        <f aca="false">Conteos!F48/Conteos!$D48</f>
        <v>0.46282165039929</v>
      </c>
      <c r="F48" s="7" t="n">
        <f aca="false">Conteos!G48/Conteos!$D48</f>
        <v>0.227864411259416</v>
      </c>
      <c r="G48" s="7" t="n">
        <f aca="false">Conteos!H48/Conteos!$D48</f>
        <v>0.0445449225018407</v>
      </c>
      <c r="H48" s="7" t="n">
        <f aca="false">Conteos!I48/Conteos!$D48</f>
        <v>0.0196964262115577</v>
      </c>
      <c r="I48" s="7" t="n">
        <f aca="false">Conteos!J48/Conteos!$D48</f>
        <v>0.0196161906020503</v>
      </c>
      <c r="J48" s="7" t="n">
        <f aca="false">Conteos!K48/Conteos!$D48</f>
        <v>0.0222413109554645</v>
      </c>
      <c r="K48" s="7" t="n">
        <f aca="false">Conteos!L48/Conteos!$D48</f>
        <v>0.00125922709509336</v>
      </c>
      <c r="L48" s="7" t="n">
        <f aca="false">Conteos!M48/Conteos!$D48</f>
        <v>0.000101946421491816</v>
      </c>
      <c r="M48" s="7" t="n">
        <f aca="false">SUM(H48:L48)</f>
        <v>0.0629151012856577</v>
      </c>
      <c r="N48" s="7" t="n">
        <f aca="false">SUM(I48:L48)</f>
        <v>0.0432186750740999</v>
      </c>
      <c r="O48" s="7" t="n">
        <f aca="false">SUM(G48:L48)</f>
        <v>0.107460023787498</v>
      </c>
      <c r="P48" s="7" t="n">
        <f aca="false">Conteos!N48/Conteos!D48</f>
        <v>0.503528478921633</v>
      </c>
    </row>
    <row r="49" customFormat="false" ht="15" hidden="false" customHeight="false" outlineLevel="0" collapsed="false">
      <c r="A49" s="4" t="str">
        <f aca="false">Conteos!A49</f>
        <v>K2s</v>
      </c>
      <c r="B49" s="4" t="str">
        <f aca="false">Conteos!B49</f>
        <v>Suited</v>
      </c>
      <c r="C49" s="6" t="n">
        <f aca="false">Conteos!C49</f>
        <v>4</v>
      </c>
      <c r="D49" s="7" t="n">
        <f aca="false">Conteos!E49/Conteos!$D49</f>
        <v>0.186561951330023</v>
      </c>
      <c r="E49" s="7" t="n">
        <f aca="false">Conteos!F49/Conteos!$D49</f>
        <v>0.43943438615039</v>
      </c>
      <c r="F49" s="7" t="n">
        <f aca="false">Conteos!G49/Conteos!$D49</f>
        <v>0.222646736770564</v>
      </c>
      <c r="G49" s="7" t="n">
        <f aca="false">Conteos!H49/Conteos!$D49</f>
        <v>0.0436882893768053</v>
      </c>
      <c r="H49" s="7" t="n">
        <f aca="false">Conteos!I49/Conteos!$D49</f>
        <v>0.0183475240234854</v>
      </c>
      <c r="I49" s="7" t="n">
        <f aca="false">Conteos!J49/Conteos!$D49</f>
        <v>0.0657186278766826</v>
      </c>
      <c r="J49" s="7" t="n">
        <f aca="false">Conteos!K49/Conteos!$D49</f>
        <v>0.0222413109554645</v>
      </c>
      <c r="K49" s="7" t="n">
        <f aca="false">Conteos!L49/Conteos!$D49</f>
        <v>0.00125922709509336</v>
      </c>
      <c r="L49" s="7" t="n">
        <f aca="false">Conteos!M49/Conteos!$D49</f>
        <v>0.000101946421491816</v>
      </c>
      <c r="M49" s="7" t="n">
        <f aca="false">SUM(H49:L49)</f>
        <v>0.107668636372218</v>
      </c>
      <c r="N49" s="7" t="n">
        <f aca="false">SUM(I49:L49)</f>
        <v>0.0893211123487323</v>
      </c>
      <c r="O49" s="7" t="n">
        <f aca="false">SUM(G49:L49)</f>
        <v>0.151356925749023</v>
      </c>
      <c r="P49" s="7" t="n">
        <f aca="false">Conteos!N49/Conteos!D49</f>
        <v>0.538415393909645</v>
      </c>
    </row>
    <row r="50" customFormat="false" ht="15" hidden="false" customHeight="false" outlineLevel="0" collapsed="false">
      <c r="A50" s="4" t="str">
        <f aca="false">Conteos!A50</f>
        <v>QQ</v>
      </c>
      <c r="B50" s="4" t="str">
        <f aca="false">Conteos!B50</f>
        <v>Pareja</v>
      </c>
      <c r="C50" s="6" t="n">
        <f aca="false">Conteos!C50</f>
        <v>6</v>
      </c>
      <c r="D50" s="7" t="n">
        <f aca="false">Conteos!E50/Conteos!$D50</f>
        <v>0</v>
      </c>
      <c r="E50" s="7" t="n">
        <f aca="false">Conteos!F50/Conteos!$D50</f>
        <v>0.356982385923842</v>
      </c>
      <c r="F50" s="7" t="n">
        <f aca="false">Conteos!G50/Conteos!$D50</f>
        <v>0.395959901074213</v>
      </c>
      <c r="G50" s="7" t="n">
        <f aca="false">Conteos!H50/Conteos!$D50</f>
        <v>0.117498914459401</v>
      </c>
      <c r="H50" s="7" t="n">
        <f aca="false">Conteos!I50/Conteos!$D50</f>
        <v>0.015940455738262</v>
      </c>
      <c r="I50" s="7" t="n">
        <f aca="false">Conteos!J50/Conteos!$D50</f>
        <v>0.0195746568747758</v>
      </c>
      <c r="J50" s="7" t="n">
        <f aca="false">Conteos!K50/Conteos!$D50</f>
        <v>0.0854764107308048</v>
      </c>
      <c r="K50" s="7" t="n">
        <f aca="false">Conteos!L50/Conteos!$D50</f>
        <v>0.00842379504993487</v>
      </c>
      <c r="L50" s="7" t="n">
        <f aca="false">Conteos!M50/Conteos!$D50</f>
        <v>0.00014348014876626</v>
      </c>
      <c r="M50" s="7" t="n">
        <f aca="false">SUM(H50:L50)</f>
        <v>0.129558798542544</v>
      </c>
      <c r="N50" s="7" t="n">
        <f aca="false">SUM(I50:L50)</f>
        <v>0.113618342804282</v>
      </c>
      <c r="O50" s="7" t="n">
        <f aca="false">SUM(G50:L50)</f>
        <v>0.247057713001945</v>
      </c>
      <c r="P50" s="7" t="n">
        <f aca="false">Conteos!N50/Conteos!D50</f>
        <v>0.947457947101135</v>
      </c>
    </row>
    <row r="51" customFormat="false" ht="15" hidden="false" customHeight="false" outlineLevel="0" collapsed="false">
      <c r="A51" s="4" t="str">
        <f aca="false">Conteos!A51</f>
        <v>QJo</v>
      </c>
      <c r="B51" s="4" t="str">
        <f aca="false">Conteos!B51</f>
        <v>Offsuit</v>
      </c>
      <c r="C51" s="6" t="n">
        <f aca="false">Conteos!C51</f>
        <v>12</v>
      </c>
      <c r="D51" s="7" t="n">
        <f aca="false">Conteos!E51/Conteos!$D51</f>
        <v>0.180827465121109</v>
      </c>
      <c r="E51" s="7" t="n">
        <f aca="false">Conteos!F51/Conteos!$D51</f>
        <v>0.437267080745342</v>
      </c>
      <c r="F51" s="7" t="n">
        <f aca="false">Conteos!G51/Conteos!$D51</f>
        <v>0.224027261228266</v>
      </c>
      <c r="G51" s="7" t="n">
        <f aca="false">Conteos!H51/Conteos!$D51</f>
        <v>0.0437350148199891</v>
      </c>
      <c r="H51" s="7" t="n">
        <f aca="false">Conteos!I51/Conteos!$D51</f>
        <v>0.0709245030111952</v>
      </c>
      <c r="I51" s="7" t="n">
        <f aca="false">Conteos!J51/Conteos!$D51</f>
        <v>0.0195538900111386</v>
      </c>
      <c r="J51" s="7" t="n">
        <f aca="false">Conteos!K51/Conteos!$D51</f>
        <v>0.0222413109554645</v>
      </c>
      <c r="K51" s="7" t="n">
        <f aca="false">Conteos!L51/Conteos!$D51</f>
        <v>0.00125922709509336</v>
      </c>
      <c r="L51" s="7" t="n">
        <f aca="false">Conteos!M51/Conteos!$D51</f>
        <v>0.000164247012403481</v>
      </c>
      <c r="M51" s="7" t="n">
        <f aca="false">SUM(H51:L51)</f>
        <v>0.114143178085295</v>
      </c>
      <c r="N51" s="7" t="n">
        <f aca="false">SUM(I51:L51)</f>
        <v>0.0432186750740999</v>
      </c>
      <c r="O51" s="7" t="n">
        <f aca="false">SUM(G51:L51)</f>
        <v>0.157878192905284</v>
      </c>
      <c r="P51" s="7" t="n">
        <f aca="false">Conteos!N51/Conteos!D51</f>
        <v>0.538548490626593</v>
      </c>
    </row>
    <row r="52" customFormat="false" ht="15" hidden="false" customHeight="false" outlineLevel="0" collapsed="false">
      <c r="A52" s="4" t="str">
        <f aca="false">Conteos!A52</f>
        <v>QJs</v>
      </c>
      <c r="B52" s="4" t="str">
        <f aca="false">Conteos!B52</f>
        <v>Suited</v>
      </c>
      <c r="C52" s="6" t="n">
        <f aca="false">Conteos!C52</f>
        <v>4</v>
      </c>
      <c r="D52" s="7" t="n">
        <f aca="false">Conteos!E52/Conteos!$D52</f>
        <v>0.167128414733146</v>
      </c>
      <c r="E52" s="7" t="n">
        <f aca="false">Conteos!F52/Conteos!$D52</f>
        <v>0.415171137835338</v>
      </c>
      <c r="F52" s="7" t="n">
        <f aca="false">Conteos!G52/Conteos!$D52</f>
        <v>0.218904453548302</v>
      </c>
      <c r="G52" s="7" t="n">
        <f aca="false">Conteos!H52/Conteos!$D52</f>
        <v>0.0428939568426816</v>
      </c>
      <c r="H52" s="7" t="n">
        <f aca="false">Conteos!I52/Conteos!$D52</f>
        <v>0.0665809246918009</v>
      </c>
      <c r="I52" s="7" t="n">
        <f aca="false">Conteos!J52/Conteos!$D52</f>
        <v>0.0643168645811701</v>
      </c>
      <c r="J52" s="7" t="n">
        <f aca="false">Conteos!K52/Conteos!$D52</f>
        <v>0.0222413109554645</v>
      </c>
      <c r="K52" s="7" t="n">
        <f aca="false">Conteos!L52/Conteos!$D52</f>
        <v>0.00125922709509336</v>
      </c>
      <c r="L52" s="7" t="n">
        <f aca="false">Conteos!M52/Conteos!$D52</f>
        <v>0.00150370971700429</v>
      </c>
      <c r="M52" s="7" t="n">
        <f aca="false">SUM(H52:L52)</f>
        <v>0.155902037040533</v>
      </c>
      <c r="N52" s="7" t="n">
        <f aca="false">SUM(I52:L52)</f>
        <v>0.0893211123487323</v>
      </c>
      <c r="O52" s="7" t="n">
        <f aca="false">SUM(G52:L52)</f>
        <v>0.198795993883215</v>
      </c>
      <c r="P52" s="7" t="n">
        <f aca="false">Conteos!N52/Conteos!D52</f>
        <v>0.570859842549416</v>
      </c>
    </row>
    <row r="53" customFormat="false" ht="15" hidden="false" customHeight="false" outlineLevel="0" collapsed="false">
      <c r="A53" s="4" t="str">
        <f aca="false">Conteos!A53</f>
        <v>QTo</v>
      </c>
      <c r="B53" s="4" t="str">
        <f aca="false">Conteos!B53</f>
        <v>Offsuit</v>
      </c>
      <c r="C53" s="6" t="n">
        <f aca="false">Conteos!C53</f>
        <v>12</v>
      </c>
      <c r="D53" s="7" t="n">
        <f aca="false">Conteos!E53/Conteos!$D53</f>
        <v>0.178491192961921</v>
      </c>
      <c r="E53" s="7" t="n">
        <f aca="false">Conteos!F53/Conteos!$D53</f>
        <v>0.435847382431233</v>
      </c>
      <c r="F53" s="7" t="n">
        <f aca="false">Conteos!G53/Conteos!$D53</f>
        <v>0.224027261228266</v>
      </c>
      <c r="G53" s="7" t="n">
        <f aca="false">Conteos!H53/Conteos!$D53</f>
        <v>0.0437350148199891</v>
      </c>
      <c r="H53" s="7" t="n">
        <f aca="false">Conteos!I53/Conteos!$D53</f>
        <v>0.0746804734844909</v>
      </c>
      <c r="I53" s="7" t="n">
        <f aca="false">Conteos!J53/Conteos!$D53</f>
        <v>0.0195331231475014</v>
      </c>
      <c r="J53" s="7" t="n">
        <f aca="false">Conteos!K53/Conteos!$D53</f>
        <v>0.0222413109554645</v>
      </c>
      <c r="K53" s="7" t="n">
        <f aca="false">Conteos!L53/Conteos!$D53</f>
        <v>0.00125922709509336</v>
      </c>
      <c r="L53" s="7" t="n">
        <f aca="false">Conteos!M53/Conteos!$D53</f>
        <v>0.000185013876040703</v>
      </c>
      <c r="M53" s="7" t="n">
        <f aca="false">SUM(H53:L53)</f>
        <v>0.117899148558591</v>
      </c>
      <c r="N53" s="7" t="n">
        <f aca="false">SUM(I53:L53)</f>
        <v>0.0432186750740999</v>
      </c>
      <c r="O53" s="7" t="n">
        <f aca="false">SUM(G53:L53)</f>
        <v>0.16163416337858</v>
      </c>
      <c r="P53" s="7" t="n">
        <f aca="false">Conteos!N53/Conteos!D53</f>
        <v>0.541715909305443</v>
      </c>
    </row>
    <row r="54" customFormat="false" ht="15" hidden="false" customHeight="false" outlineLevel="0" collapsed="false">
      <c r="A54" s="4" t="str">
        <f aca="false">Conteos!A54</f>
        <v>QTs</v>
      </c>
      <c r="B54" s="4" t="str">
        <f aca="false">Conteos!B54</f>
        <v>Suited</v>
      </c>
      <c r="C54" s="6" t="n">
        <f aca="false">Conteos!C54</f>
        <v>4</v>
      </c>
      <c r="D54" s="7" t="n">
        <f aca="false">Conteos!E54/Conteos!$D54</f>
        <v>0.164969132889048</v>
      </c>
      <c r="E54" s="7" t="n">
        <f aca="false">Conteos!F54/Conteos!$D54</f>
        <v>0.413823179595613</v>
      </c>
      <c r="F54" s="7" t="n">
        <f aca="false">Conteos!G54/Conteos!$D54</f>
        <v>0.218904453548302</v>
      </c>
      <c r="G54" s="7" t="n">
        <f aca="false">Conteos!H54/Conteos!$D54</f>
        <v>0.0428939568426816</v>
      </c>
      <c r="H54" s="7" t="n">
        <f aca="false">Conteos!I54/Conteos!$D54</f>
        <v>0.0700881647756235</v>
      </c>
      <c r="I54" s="7" t="n">
        <f aca="false">Conteos!J54/Conteos!$D54</f>
        <v>0.0642960977175329</v>
      </c>
      <c r="J54" s="7" t="n">
        <f aca="false">Conteos!K54/Conteos!$D54</f>
        <v>0.0222413109554645</v>
      </c>
      <c r="K54" s="7" t="n">
        <f aca="false">Conteos!L54/Conteos!$D54</f>
        <v>0.00125922709509336</v>
      </c>
      <c r="L54" s="7" t="n">
        <f aca="false">Conteos!M54/Conteos!$D54</f>
        <v>0.00152447658064151</v>
      </c>
      <c r="M54" s="7" t="n">
        <f aca="false">SUM(H54:L54)</f>
        <v>0.159409277124356</v>
      </c>
      <c r="N54" s="7" t="n">
        <f aca="false">SUM(I54:L54)</f>
        <v>0.0893211123487323</v>
      </c>
      <c r="O54" s="7" t="n">
        <f aca="false">SUM(G54:L54)</f>
        <v>0.202303233967037</v>
      </c>
      <c r="P54" s="7" t="n">
        <f aca="false">Conteos!N54/Conteos!D54</f>
        <v>0.573773811097057</v>
      </c>
    </row>
    <row r="55" customFormat="false" ht="15" hidden="false" customHeight="false" outlineLevel="0" collapsed="false">
      <c r="A55" s="4" t="str">
        <f aca="false">Conteos!A55</f>
        <v>Q9o</v>
      </c>
      <c r="B55" s="4" t="str">
        <f aca="false">Conteos!B55</f>
        <v>Offsuit</v>
      </c>
      <c r="C55" s="6" t="n">
        <f aca="false">Conteos!C55</f>
        <v>12</v>
      </c>
      <c r="D55" s="7" t="n">
        <f aca="false">Conteos!E55/Conteos!$D55</f>
        <v>0.185967263871321</v>
      </c>
      <c r="E55" s="7" t="n">
        <f aca="false">Conteos!F55/Conteos!$D55</f>
        <v>0.444365572315883</v>
      </c>
      <c r="F55" s="7" t="n">
        <f aca="false">Conteos!G55/Conteos!$D55</f>
        <v>0.225306311238649</v>
      </c>
      <c r="G55" s="7" t="n">
        <f aca="false">Conteos!H55/Conteos!$D55</f>
        <v>0.0440049840472729</v>
      </c>
      <c r="H55" s="7" t="n">
        <f aca="false">Conteos!I55/Conteos!$D55</f>
        <v>0.0571371934527743</v>
      </c>
      <c r="I55" s="7" t="n">
        <f aca="false">Conteos!J55/Conteos!$D55</f>
        <v>0.0195335951216749</v>
      </c>
      <c r="J55" s="7" t="n">
        <f aca="false">Conteos!K55/Conteos!$D55</f>
        <v>0.0222413109554645</v>
      </c>
      <c r="K55" s="7" t="n">
        <f aca="false">Conteos!L55/Conteos!$D55</f>
        <v>0.00125922709509336</v>
      </c>
      <c r="L55" s="7" t="n">
        <f aca="false">Conteos!M55/Conteos!$D55</f>
        <v>0.00018454190186713</v>
      </c>
      <c r="M55" s="7" t="n">
        <f aca="false">SUM(H55:L55)</f>
        <v>0.100355868526874</v>
      </c>
      <c r="N55" s="7" t="n">
        <f aca="false">SUM(I55:L55)</f>
        <v>0.0432186750740999</v>
      </c>
      <c r="O55" s="7" t="n">
        <f aca="false">SUM(G55:L55)</f>
        <v>0.144360852574147</v>
      </c>
      <c r="P55" s="7" t="n">
        <f aca="false">Conteos!N55/Conteos!D55</f>
        <v>0.529692367233665</v>
      </c>
    </row>
    <row r="56" customFormat="false" ht="15" hidden="false" customHeight="false" outlineLevel="0" collapsed="false">
      <c r="A56" s="4" t="str">
        <f aca="false">Conteos!A56</f>
        <v>Q9s</v>
      </c>
      <c r="B56" s="4" t="str">
        <f aca="false">Conteos!B56</f>
        <v>Suited</v>
      </c>
      <c r="C56" s="6" t="n">
        <f aca="false">Conteos!C56</f>
        <v>4</v>
      </c>
      <c r="D56" s="7" t="n">
        <f aca="false">Conteos!E56/Conteos!$D56</f>
        <v>0.17187883479016</v>
      </c>
      <c r="E56" s="7" t="n">
        <f aca="false">Conteos!F56/Conteos!$D56</f>
        <v>0.421910929033963</v>
      </c>
      <c r="F56" s="7" t="n">
        <f aca="false">Conteos!G56/Conteos!$D56</f>
        <v>0.220151881289056</v>
      </c>
      <c r="G56" s="7" t="n">
        <f aca="false">Conteos!H56/Conteos!$D56</f>
        <v>0.0431587343540561</v>
      </c>
      <c r="H56" s="7" t="n">
        <f aca="false">Conteos!I56/Conteos!$D56</f>
        <v>0.0535785081840322</v>
      </c>
      <c r="I56" s="7" t="n">
        <f aca="false">Conteos!J56/Conteos!$D56</f>
        <v>0.064763824123544</v>
      </c>
      <c r="J56" s="7" t="n">
        <f aca="false">Conteos!K56/Conteos!$D56</f>
        <v>0.0222413109554645</v>
      </c>
      <c r="K56" s="7" t="n">
        <f aca="false">Conteos!L56/Conteos!$D56</f>
        <v>0.00125922709509336</v>
      </c>
      <c r="L56" s="7" t="n">
        <f aca="false">Conteos!M56/Conteos!$D56</f>
        <v>0.00105675017463044</v>
      </c>
      <c r="M56" s="7" t="n">
        <f aca="false">SUM(H56:L56)</f>
        <v>0.142899620532764</v>
      </c>
      <c r="N56" s="7" t="n">
        <f aca="false">SUM(I56:L56)</f>
        <v>0.0893211123487323</v>
      </c>
      <c r="O56" s="7" t="n">
        <f aca="false">SUM(G56:L56)</f>
        <v>0.186058354886821</v>
      </c>
      <c r="P56" s="7" t="n">
        <f aca="false">Conteos!N56/Conteos!D56</f>
        <v>0.562616341633786</v>
      </c>
    </row>
    <row r="57" customFormat="false" ht="15" hidden="false" customHeight="false" outlineLevel="0" collapsed="false">
      <c r="A57" s="4" t="str">
        <f aca="false">Conteos!A57</f>
        <v>Q8o</v>
      </c>
      <c r="B57" s="4" t="str">
        <f aca="false">Conteos!B57</f>
        <v>Offsuit</v>
      </c>
      <c r="C57" s="6" t="n">
        <f aca="false">Conteos!C57</f>
        <v>12</v>
      </c>
      <c r="D57" s="7" t="n">
        <f aca="false">Conteos!E57/Conteos!$D57</f>
        <v>0.190639808189696</v>
      </c>
      <c r="E57" s="7" t="n">
        <f aca="false">Conteos!F57/Conteos!$D57</f>
        <v>0.451464063886424</v>
      </c>
      <c r="F57" s="7" t="n">
        <f aca="false">Conteos!G57/Conteos!$D57</f>
        <v>0.226585361249032</v>
      </c>
      <c r="G57" s="7" t="n">
        <f aca="false">Conteos!H57/Conteos!$D57</f>
        <v>0.0442749532745568</v>
      </c>
      <c r="H57" s="7" t="n">
        <f aca="false">Conteos!I57/Conteos!$D57</f>
        <v>0.0438171383261908</v>
      </c>
      <c r="I57" s="7" t="n">
        <f aca="false">Conteos!J57/Conteos!$D57</f>
        <v>0.0195335951216749</v>
      </c>
      <c r="J57" s="7" t="n">
        <f aca="false">Conteos!K57/Conteos!$D57</f>
        <v>0.0222413109554645</v>
      </c>
      <c r="K57" s="7" t="n">
        <f aca="false">Conteos!L57/Conteos!$D57</f>
        <v>0.00125922709509336</v>
      </c>
      <c r="L57" s="7" t="n">
        <f aca="false">Conteos!M57/Conteos!$D57</f>
        <v>0.00018454190186713</v>
      </c>
      <c r="M57" s="7" t="n">
        <f aca="false">SUM(H57:L57)</f>
        <v>0.0870358134002907</v>
      </c>
      <c r="N57" s="7" t="n">
        <f aca="false">SUM(I57:L57)</f>
        <v>0.0432186750740999</v>
      </c>
      <c r="O57" s="7" t="n">
        <f aca="false">SUM(G57:L57)</f>
        <v>0.131310766674848</v>
      </c>
      <c r="P57" s="7" t="n">
        <f aca="false">Conteos!N57/Conteos!D57</f>
        <v>0.521186448677528</v>
      </c>
    </row>
    <row r="58" customFormat="false" ht="15" hidden="false" customHeight="false" outlineLevel="0" collapsed="false">
      <c r="A58" s="4" t="str">
        <f aca="false">Conteos!A58</f>
        <v>Q8s</v>
      </c>
      <c r="B58" s="4" t="str">
        <f aca="false">Conteos!B58</f>
        <v>Suited</v>
      </c>
      <c r="C58" s="6" t="n">
        <f aca="false">Conteos!C58</f>
        <v>4</v>
      </c>
      <c r="D58" s="7" t="n">
        <f aca="false">Conteos!E58/Conteos!$D58</f>
        <v>0.176197398478355</v>
      </c>
      <c r="E58" s="7" t="n">
        <f aca="false">Conteos!F58/Conteos!$D58</f>
        <v>0.428650720232589</v>
      </c>
      <c r="F58" s="7" t="n">
        <f aca="false">Conteos!G58/Conteos!$D58</f>
        <v>0.22139930902981</v>
      </c>
      <c r="G58" s="7" t="n">
        <f aca="false">Conteos!H58/Conteos!$D58</f>
        <v>0.0434235118654307</v>
      </c>
      <c r="H58" s="7" t="n">
        <f aca="false">Conteos!I58/Conteos!$D58</f>
        <v>0.041007948045083</v>
      </c>
      <c r="I58" s="7" t="n">
        <f aca="false">Conteos!J58/Conteos!$D58</f>
        <v>0.0652103116917442</v>
      </c>
      <c r="J58" s="7" t="n">
        <f aca="false">Conteos!K58/Conteos!$D58</f>
        <v>0.0222413109554645</v>
      </c>
      <c r="K58" s="7" t="n">
        <f aca="false">Conteos!L58/Conteos!$D58</f>
        <v>0.00125922709509336</v>
      </c>
      <c r="L58" s="7" t="n">
        <f aca="false">Conteos!M58/Conteos!$D58</f>
        <v>0.000610262606430176</v>
      </c>
      <c r="M58" s="7" t="n">
        <f aca="false">SUM(H58:L58)</f>
        <v>0.130329060393815</v>
      </c>
      <c r="N58" s="7" t="n">
        <f aca="false">SUM(I58:L58)</f>
        <v>0.0893211123487323</v>
      </c>
      <c r="O58" s="7" t="n">
        <f aca="false">SUM(G58:L58)</f>
        <v>0.173752572259246</v>
      </c>
      <c r="P58" s="7" t="n">
        <f aca="false">Conteos!N58/Conteos!D58</f>
        <v>0.55471549396817</v>
      </c>
    </row>
    <row r="59" customFormat="false" ht="15" hidden="false" customHeight="false" outlineLevel="0" collapsed="false">
      <c r="A59" s="4" t="str">
        <f aca="false">Conteos!A59</f>
        <v>Q7o</v>
      </c>
      <c r="B59" s="4" t="str">
        <f aca="false">Conteos!B59</f>
        <v>Offsuit</v>
      </c>
      <c r="C59" s="6" t="n">
        <f aca="false">Conteos!C59</f>
        <v>12</v>
      </c>
      <c r="D59" s="7" t="n">
        <f aca="false">Conteos!E59/Conteos!$D59</f>
        <v>0.195312352508071</v>
      </c>
      <c r="E59" s="7" t="n">
        <f aca="false">Conteos!F59/Conteos!$D59</f>
        <v>0.458562555456965</v>
      </c>
      <c r="F59" s="7" t="n">
        <f aca="false">Conteos!G59/Conteos!$D59</f>
        <v>0.227864411259416</v>
      </c>
      <c r="G59" s="7" t="n">
        <f aca="false">Conteos!H59/Conteos!$D59</f>
        <v>0.0445449225018407</v>
      </c>
      <c r="H59" s="7" t="n">
        <f aca="false">Conteos!I59/Conteos!$D59</f>
        <v>0.0304970831996073</v>
      </c>
      <c r="I59" s="7" t="n">
        <f aca="false">Conteos!J59/Conteos!$D59</f>
        <v>0.0195335951216749</v>
      </c>
      <c r="J59" s="7" t="n">
        <f aca="false">Conteos!K59/Conteos!$D59</f>
        <v>0.0222413109554645</v>
      </c>
      <c r="K59" s="7" t="n">
        <f aca="false">Conteos!L59/Conteos!$D59</f>
        <v>0.00125922709509336</v>
      </c>
      <c r="L59" s="7" t="n">
        <f aca="false">Conteos!M59/Conteos!$D59</f>
        <v>0.00018454190186713</v>
      </c>
      <c r="M59" s="7" t="n">
        <f aca="false">SUM(H59:L59)</f>
        <v>0.0737157582737073</v>
      </c>
      <c r="N59" s="7" t="n">
        <f aca="false">SUM(I59:L59)</f>
        <v>0.0432186750740999</v>
      </c>
      <c r="O59" s="7" t="n">
        <f aca="false">SUM(G59:L59)</f>
        <v>0.118260680775548</v>
      </c>
      <c r="P59" s="7" t="n">
        <f aca="false">Conteos!N59/Conteos!D59</f>
        <v>0.512680530121392</v>
      </c>
    </row>
    <row r="60" customFormat="false" ht="15" hidden="false" customHeight="false" outlineLevel="0" collapsed="false">
      <c r="A60" s="4" t="str">
        <f aca="false">Conteos!A60</f>
        <v>Q7s</v>
      </c>
      <c r="B60" s="4" t="str">
        <f aca="false">Conteos!B60</f>
        <v>Suited</v>
      </c>
      <c r="C60" s="6" t="n">
        <f aca="false">Conteos!C60</f>
        <v>4</v>
      </c>
      <c r="D60" s="7" t="n">
        <f aca="false">Conteos!E60/Conteos!$D60</f>
        <v>0.18051596216655</v>
      </c>
      <c r="E60" s="7" t="n">
        <f aca="false">Conteos!F60/Conteos!$D60</f>
        <v>0.435390511431215</v>
      </c>
      <c r="F60" s="7" t="n">
        <f aca="false">Conteos!G60/Conteos!$D60</f>
        <v>0.222646736770564</v>
      </c>
      <c r="G60" s="7" t="n">
        <f aca="false">Conteos!H60/Conteos!$D60</f>
        <v>0.0436882893768053</v>
      </c>
      <c r="H60" s="7" t="n">
        <f aca="false">Conteos!I60/Conteos!$D60</f>
        <v>0.0284373879061338</v>
      </c>
      <c r="I60" s="7" t="n">
        <f aca="false">Conteos!J60/Conteos!$D60</f>
        <v>0.0656567992599445</v>
      </c>
      <c r="J60" s="7" t="n">
        <f aca="false">Conteos!K60/Conteos!$D60</f>
        <v>0.0222413109554645</v>
      </c>
      <c r="K60" s="7" t="n">
        <f aca="false">Conteos!L60/Conteos!$D60</f>
        <v>0.00125922709509336</v>
      </c>
      <c r="L60" s="7" t="n">
        <f aca="false">Conteos!M60/Conteos!$D60</f>
        <v>0.000163775038229908</v>
      </c>
      <c r="M60" s="7" t="n">
        <f aca="false">SUM(H60:L60)</f>
        <v>0.117758500254866</v>
      </c>
      <c r="N60" s="7" t="n">
        <f aca="false">SUM(I60:L60)</f>
        <v>0.0893211123487323</v>
      </c>
      <c r="O60" s="7" t="n">
        <f aca="false">SUM(G60:L60)</f>
        <v>0.161446789631671</v>
      </c>
      <c r="P60" s="7" t="n">
        <f aca="false">Conteos!N60/Conteos!D60</f>
        <v>0.546814646302554</v>
      </c>
    </row>
    <row r="61" customFormat="false" ht="15" hidden="false" customHeight="false" outlineLevel="0" collapsed="false">
      <c r="A61" s="4" t="str">
        <f aca="false">Conteos!A61</f>
        <v>Q6o</v>
      </c>
      <c r="B61" s="4" t="str">
        <f aca="false">Conteos!B61</f>
        <v>Offsuit</v>
      </c>
      <c r="C61" s="6" t="n">
        <f aca="false">Conteos!C61</f>
        <v>12</v>
      </c>
      <c r="D61" s="7" t="n">
        <f aca="false">Conteos!E61/Conteos!$D61</f>
        <v>0.192976080348883</v>
      </c>
      <c r="E61" s="7" t="n">
        <f aca="false">Conteos!F61/Conteos!$D61</f>
        <v>0.457142857142857</v>
      </c>
      <c r="F61" s="7" t="n">
        <f aca="false">Conteos!G61/Conteos!$D61</f>
        <v>0.227864411259416</v>
      </c>
      <c r="G61" s="7" t="n">
        <f aca="false">Conteos!H61/Conteos!$D61</f>
        <v>0.0445449225018407</v>
      </c>
      <c r="H61" s="7" t="n">
        <f aca="false">Conteos!I61/Conteos!$D61</f>
        <v>0.034253053672903</v>
      </c>
      <c r="I61" s="7" t="n">
        <f aca="false">Conteos!J61/Conteos!$D61</f>
        <v>0.0195335951216749</v>
      </c>
      <c r="J61" s="7" t="n">
        <f aca="false">Conteos!K61/Conteos!$D61</f>
        <v>0.0222413109554645</v>
      </c>
      <c r="K61" s="7" t="n">
        <f aca="false">Conteos!L61/Conteos!$D61</f>
        <v>0.00125922709509336</v>
      </c>
      <c r="L61" s="7" t="n">
        <f aca="false">Conteos!M61/Conteos!$D61</f>
        <v>0.00018454190186713</v>
      </c>
      <c r="M61" s="7" t="n">
        <f aca="false">SUM(H61:L61)</f>
        <v>0.077471728747003</v>
      </c>
      <c r="N61" s="7" t="n">
        <f aca="false">SUM(I61:L61)</f>
        <v>0.0432186750740999</v>
      </c>
      <c r="O61" s="7" t="n">
        <f aca="false">SUM(G61:L61)</f>
        <v>0.122016651248844</v>
      </c>
      <c r="P61" s="7" t="n">
        <f aca="false">Conteos!N61/Conteos!D61</f>
        <v>0.515730427231022</v>
      </c>
    </row>
    <row r="62" customFormat="false" ht="15" hidden="false" customHeight="false" outlineLevel="0" collapsed="false">
      <c r="A62" s="4" t="str">
        <f aca="false">Conteos!A62</f>
        <v>Q6s</v>
      </c>
      <c r="B62" s="4" t="str">
        <f aca="false">Conteos!B62</f>
        <v>Suited</v>
      </c>
      <c r="C62" s="6" t="n">
        <f aca="false">Conteos!C62</f>
        <v>4</v>
      </c>
      <c r="D62" s="7" t="n">
        <f aca="false">Conteos!E62/Conteos!$D62</f>
        <v>0.178356680322453</v>
      </c>
      <c r="E62" s="7" t="n">
        <f aca="false">Conteos!F62/Conteos!$D62</f>
        <v>0.434042553191489</v>
      </c>
      <c r="F62" s="7" t="n">
        <f aca="false">Conteos!G62/Conteos!$D62</f>
        <v>0.222646736770564</v>
      </c>
      <c r="G62" s="7" t="n">
        <f aca="false">Conteos!H62/Conteos!$D62</f>
        <v>0.0436882893768053</v>
      </c>
      <c r="H62" s="7" t="n">
        <f aca="false">Conteos!I62/Conteos!$D62</f>
        <v>0.0319446279899564</v>
      </c>
      <c r="I62" s="7" t="n">
        <f aca="false">Conteos!J62/Conteos!$D62</f>
        <v>0.0656360323963073</v>
      </c>
      <c r="J62" s="7" t="n">
        <f aca="false">Conteos!K62/Conteos!$D62</f>
        <v>0.0222413109554645</v>
      </c>
      <c r="K62" s="7" t="n">
        <f aca="false">Conteos!L62/Conteos!$D62</f>
        <v>0.00125922709509336</v>
      </c>
      <c r="L62" s="7" t="n">
        <f aca="false">Conteos!M62/Conteos!$D62</f>
        <v>0.00018454190186713</v>
      </c>
      <c r="M62" s="7" t="n">
        <f aca="false">SUM(H62:L62)</f>
        <v>0.121265740338689</v>
      </c>
      <c r="N62" s="7" t="n">
        <f aca="false">SUM(I62:L62)</f>
        <v>0.0893211123487323</v>
      </c>
      <c r="O62" s="7" t="n">
        <f aca="false">SUM(G62:L62)</f>
        <v>0.164954029715494</v>
      </c>
      <c r="P62" s="7" t="n">
        <f aca="false">Conteos!N62/Conteos!D62</f>
        <v>0.549638939757216</v>
      </c>
    </row>
    <row r="63" customFormat="false" ht="15" hidden="false" customHeight="false" outlineLevel="0" collapsed="false">
      <c r="A63" s="4" t="str">
        <f aca="false">Conteos!A63</f>
        <v>Q5o</v>
      </c>
      <c r="B63" s="4" t="str">
        <f aca="false">Conteos!B63</f>
        <v>Offsuit</v>
      </c>
      <c r="C63" s="6" t="n">
        <f aca="false">Conteos!C63</f>
        <v>12</v>
      </c>
      <c r="D63" s="7" t="n">
        <f aca="false">Conteos!E63/Conteos!$D63</f>
        <v>0.192508825917046</v>
      </c>
      <c r="E63" s="7" t="n">
        <f aca="false">Conteos!F63/Conteos!$D63</f>
        <v>0.457142857142857</v>
      </c>
      <c r="F63" s="7" t="n">
        <f aca="false">Conteos!G63/Conteos!$D63</f>
        <v>0.227864411259416</v>
      </c>
      <c r="G63" s="7" t="n">
        <f aca="false">Conteos!H63/Conteos!$D63</f>
        <v>0.0445449225018407</v>
      </c>
      <c r="H63" s="7" t="n">
        <f aca="false">Conteos!I63/Conteos!$D63</f>
        <v>0.0347203081047405</v>
      </c>
      <c r="I63" s="7" t="n">
        <f aca="false">Conteos!J63/Conteos!$D63</f>
        <v>0.0195331231475014</v>
      </c>
      <c r="J63" s="7" t="n">
        <f aca="false">Conteos!K63/Conteos!$D63</f>
        <v>0.0222413109554645</v>
      </c>
      <c r="K63" s="7" t="n">
        <f aca="false">Conteos!L63/Conteos!$D63</f>
        <v>0.00125922709509336</v>
      </c>
      <c r="L63" s="7" t="n">
        <f aca="false">Conteos!M63/Conteos!$D63</f>
        <v>0.000185013876040703</v>
      </c>
      <c r="M63" s="7" t="n">
        <f aca="false">SUM(H63:L63)</f>
        <v>0.0779389831788405</v>
      </c>
      <c r="N63" s="7" t="n">
        <f aca="false">SUM(I63:L63)</f>
        <v>0.0432186750740999</v>
      </c>
      <c r="O63" s="7" t="n">
        <f aca="false">SUM(G63:L63)</f>
        <v>0.122483905680681</v>
      </c>
      <c r="P63" s="7" t="n">
        <f aca="false">Conteos!N63/Conteos!D63</f>
        <v>0.516198153637033</v>
      </c>
    </row>
    <row r="64" customFormat="false" ht="15" hidden="false" customHeight="false" outlineLevel="0" collapsed="false">
      <c r="A64" s="4" t="str">
        <f aca="false">Conteos!A64</f>
        <v>Q5s</v>
      </c>
      <c r="B64" s="4" t="str">
        <f aca="false">Conteos!B64</f>
        <v>Suited</v>
      </c>
      <c r="C64" s="6" t="n">
        <f aca="false">Conteos!C64</f>
        <v>4</v>
      </c>
      <c r="D64" s="7" t="n">
        <f aca="false">Conteos!E64/Conteos!$D64</f>
        <v>0.177924823953633</v>
      </c>
      <c r="E64" s="7" t="n">
        <f aca="false">Conteos!F64/Conteos!$D64</f>
        <v>0.434042553191489</v>
      </c>
      <c r="F64" s="7" t="n">
        <f aca="false">Conteos!G64/Conteos!$D64</f>
        <v>0.222646736770564</v>
      </c>
      <c r="G64" s="7" t="n">
        <f aca="false">Conteos!H64/Conteos!$D64</f>
        <v>0.0436882893768053</v>
      </c>
      <c r="H64" s="7" t="n">
        <f aca="false">Conteos!I64/Conteos!$D64</f>
        <v>0.0323764843587759</v>
      </c>
      <c r="I64" s="7" t="n">
        <f aca="false">Conteos!J64/Conteos!$D64</f>
        <v>0.0656355604221337</v>
      </c>
      <c r="J64" s="7" t="n">
        <f aca="false">Conteos!K64/Conteos!$D64</f>
        <v>0.0222413109554645</v>
      </c>
      <c r="K64" s="7" t="n">
        <f aca="false">Conteos!L64/Conteos!$D64</f>
        <v>0.00125922709509336</v>
      </c>
      <c r="L64" s="7" t="n">
        <f aca="false">Conteos!M64/Conteos!$D64</f>
        <v>0.000185013876040703</v>
      </c>
      <c r="M64" s="7" t="n">
        <f aca="false">SUM(H64:L64)</f>
        <v>0.121697596707508</v>
      </c>
      <c r="N64" s="7" t="n">
        <f aca="false">SUM(I64:L64)</f>
        <v>0.0893211123487323</v>
      </c>
      <c r="O64" s="7" t="n">
        <f aca="false">SUM(G64:L64)</f>
        <v>0.165385886084313</v>
      </c>
      <c r="P64" s="7" t="n">
        <f aca="false">Conteos!N64/Conteos!D64</f>
        <v>0.55007126810021</v>
      </c>
    </row>
    <row r="65" customFormat="false" ht="15" hidden="false" customHeight="false" outlineLevel="0" collapsed="false">
      <c r="A65" s="4" t="str">
        <f aca="false">Conteos!A65</f>
        <v>Q4o</v>
      </c>
      <c r="B65" s="4" t="str">
        <f aca="false">Conteos!B65</f>
        <v>Offsuit</v>
      </c>
      <c r="C65" s="6" t="n">
        <f aca="false">Conteos!C65</f>
        <v>12</v>
      </c>
      <c r="D65" s="7" t="n">
        <f aca="false">Conteos!E65/Conteos!$D65</f>
        <v>0.194845098076233</v>
      </c>
      <c r="E65" s="7" t="n">
        <f aca="false">Conteos!F65/Conteos!$D65</f>
        <v>0.458562555456965</v>
      </c>
      <c r="F65" s="7" t="n">
        <f aca="false">Conteos!G65/Conteos!$D65</f>
        <v>0.227864411259416</v>
      </c>
      <c r="G65" s="7" t="n">
        <f aca="false">Conteos!H65/Conteos!$D65</f>
        <v>0.0445449225018407</v>
      </c>
      <c r="H65" s="7" t="n">
        <f aca="false">Conteos!I65/Conteos!$D65</f>
        <v>0.0309643376314448</v>
      </c>
      <c r="I65" s="7" t="n">
        <f aca="false">Conteos!J65/Conteos!$D65</f>
        <v>0.0195538900111386</v>
      </c>
      <c r="J65" s="7" t="n">
        <f aca="false">Conteos!K65/Conteos!$D65</f>
        <v>0.0222413109554645</v>
      </c>
      <c r="K65" s="7" t="n">
        <f aca="false">Conteos!L65/Conteos!$D65</f>
        <v>0.00125922709509336</v>
      </c>
      <c r="L65" s="7" t="n">
        <f aca="false">Conteos!M65/Conteos!$D65</f>
        <v>0.000164247012403481</v>
      </c>
      <c r="M65" s="7" t="n">
        <f aca="false">SUM(H65:L65)</f>
        <v>0.0741830127055448</v>
      </c>
      <c r="N65" s="7" t="n">
        <f aca="false">SUM(I65:L65)</f>
        <v>0.0432186750740999</v>
      </c>
      <c r="O65" s="7" t="n">
        <f aca="false">SUM(G65:L65)</f>
        <v>0.118727935207385</v>
      </c>
      <c r="P65" s="7" t="n">
        <f aca="false">Conteos!N65/Conteos!D65</f>
        <v>0.513030734958183</v>
      </c>
    </row>
    <row r="66" customFormat="false" ht="15" hidden="false" customHeight="false" outlineLevel="0" collapsed="false">
      <c r="A66" s="4" t="str">
        <f aca="false">Conteos!A66</f>
        <v>Q4s</v>
      </c>
      <c r="B66" s="4" t="str">
        <f aca="false">Conteos!B66</f>
        <v>Suited</v>
      </c>
      <c r="C66" s="6" t="n">
        <f aca="false">Conteos!C66</f>
        <v>4</v>
      </c>
      <c r="D66" s="7" t="n">
        <f aca="false">Conteos!E66/Conteos!$D66</f>
        <v>0.180084105797731</v>
      </c>
      <c r="E66" s="7" t="n">
        <f aca="false">Conteos!F66/Conteos!$D66</f>
        <v>0.435390511431215</v>
      </c>
      <c r="F66" s="7" t="n">
        <f aca="false">Conteos!G66/Conteos!$D66</f>
        <v>0.222646736770564</v>
      </c>
      <c r="G66" s="7" t="n">
        <f aca="false">Conteos!H66/Conteos!$D66</f>
        <v>0.0436882893768053</v>
      </c>
      <c r="H66" s="7" t="n">
        <f aca="false">Conteos!I66/Conteos!$D66</f>
        <v>0.0288692442749533</v>
      </c>
      <c r="I66" s="7" t="n">
        <f aca="false">Conteos!J66/Conteos!$D66</f>
        <v>0.0656563272857709</v>
      </c>
      <c r="J66" s="7" t="n">
        <f aca="false">Conteos!K66/Conteos!$D66</f>
        <v>0.0222413109554645</v>
      </c>
      <c r="K66" s="7" t="n">
        <f aca="false">Conteos!L66/Conteos!$D66</f>
        <v>0.00125922709509336</v>
      </c>
      <c r="L66" s="7" t="n">
        <f aca="false">Conteos!M66/Conteos!$D66</f>
        <v>0.000164247012403481</v>
      </c>
      <c r="M66" s="7" t="n">
        <f aca="false">SUM(H66:L66)</f>
        <v>0.118190356623686</v>
      </c>
      <c r="N66" s="7" t="n">
        <f aca="false">SUM(I66:L66)</f>
        <v>0.0893211123487323</v>
      </c>
      <c r="O66" s="7" t="n">
        <f aca="false">SUM(G66:L66)</f>
        <v>0.161878646000491</v>
      </c>
      <c r="P66" s="7" t="n">
        <f aca="false">Conteos!N66/Conteos!D66</f>
        <v>0.547157299552569</v>
      </c>
    </row>
    <row r="67" customFormat="false" ht="15" hidden="false" customHeight="false" outlineLevel="0" collapsed="false">
      <c r="A67" s="4" t="str">
        <f aca="false">Conteos!A67</f>
        <v>Q3o</v>
      </c>
      <c r="B67" s="4" t="str">
        <f aca="false">Conteos!B67</f>
        <v>Offsuit</v>
      </c>
      <c r="C67" s="6" t="n">
        <f aca="false">Conteos!C67</f>
        <v>12</v>
      </c>
      <c r="D67" s="7" t="n">
        <f aca="false">Conteos!E67/Conteos!$D67</f>
        <v>0.197181370235421</v>
      </c>
      <c r="E67" s="7" t="n">
        <f aca="false">Conteos!F67/Conteos!$D67</f>
        <v>0.459982253771074</v>
      </c>
      <c r="F67" s="7" t="n">
        <f aca="false">Conteos!G67/Conteos!$D67</f>
        <v>0.227864411259416</v>
      </c>
      <c r="G67" s="7" t="n">
        <f aca="false">Conteos!H67/Conteos!$D67</f>
        <v>0.0445449225018407</v>
      </c>
      <c r="H67" s="7" t="n">
        <f aca="false">Conteos!I67/Conteos!$D67</f>
        <v>0.0272083671581491</v>
      </c>
      <c r="I67" s="7" t="n">
        <f aca="false">Conteos!J67/Conteos!$D67</f>
        <v>0.0195746568747758</v>
      </c>
      <c r="J67" s="7" t="n">
        <f aca="false">Conteos!K67/Conteos!$D67</f>
        <v>0.0222413109554645</v>
      </c>
      <c r="K67" s="7" t="n">
        <f aca="false">Conteos!L67/Conteos!$D67</f>
        <v>0.00125922709509336</v>
      </c>
      <c r="L67" s="7" t="n">
        <f aca="false">Conteos!M67/Conteos!$D67</f>
        <v>0.00014348014876626</v>
      </c>
      <c r="M67" s="7" t="n">
        <f aca="false">SUM(H67:L67)</f>
        <v>0.0704270422322491</v>
      </c>
      <c r="N67" s="7" t="n">
        <f aca="false">SUM(I67:L67)</f>
        <v>0.0432186750740999</v>
      </c>
      <c r="O67" s="7" t="n">
        <f aca="false">SUM(G67:L67)</f>
        <v>0.11497196473409</v>
      </c>
      <c r="P67" s="7" t="n">
        <f aca="false">Conteos!N67/Conteos!D67</f>
        <v>0.509863316279333</v>
      </c>
    </row>
    <row r="68" customFormat="false" ht="15" hidden="false" customHeight="false" outlineLevel="0" collapsed="false">
      <c r="A68" s="4" t="str">
        <f aca="false">Conteos!A68</f>
        <v>Q3s</v>
      </c>
      <c r="B68" s="4" t="str">
        <f aca="false">Conteos!B68</f>
        <v>Suited</v>
      </c>
      <c r="C68" s="6" t="n">
        <f aca="false">Conteos!C68</f>
        <v>4</v>
      </c>
      <c r="D68" s="7" t="n">
        <f aca="false">Conteos!E68/Conteos!$D68</f>
        <v>0.182243387641828</v>
      </c>
      <c r="E68" s="7" t="n">
        <f aca="false">Conteos!F68/Conteos!$D68</f>
        <v>0.43673846967094</v>
      </c>
      <c r="F68" s="7" t="n">
        <f aca="false">Conteos!G68/Conteos!$D68</f>
        <v>0.222646736770564</v>
      </c>
      <c r="G68" s="7" t="n">
        <f aca="false">Conteos!H68/Conteos!$D68</f>
        <v>0.0436882893768053</v>
      </c>
      <c r="H68" s="7" t="n">
        <f aca="false">Conteos!I68/Conteos!$D68</f>
        <v>0.0253620041911307</v>
      </c>
      <c r="I68" s="7" t="n">
        <f aca="false">Conteos!J68/Conteos!$D68</f>
        <v>0.0656770941494081</v>
      </c>
      <c r="J68" s="7" t="n">
        <f aca="false">Conteos!K68/Conteos!$D68</f>
        <v>0.0222413109554645</v>
      </c>
      <c r="K68" s="7" t="n">
        <f aca="false">Conteos!L68/Conteos!$D68</f>
        <v>0.00125922709509336</v>
      </c>
      <c r="L68" s="7" t="n">
        <f aca="false">Conteos!M68/Conteos!$D68</f>
        <v>0.00014348014876626</v>
      </c>
      <c r="M68" s="7" t="n">
        <f aca="false">SUM(H68:L68)</f>
        <v>0.114683116539863</v>
      </c>
      <c r="N68" s="7" t="n">
        <f aca="false">SUM(I68:L68)</f>
        <v>0.0893211123487323</v>
      </c>
      <c r="O68" s="7" t="n">
        <f aca="false">SUM(G68:L68)</f>
        <v>0.158371405916668</v>
      </c>
      <c r="P68" s="7" t="n">
        <f aca="false">Conteos!N68/Conteos!D68</f>
        <v>0.544243331004927</v>
      </c>
    </row>
    <row r="69" customFormat="false" ht="15" hidden="false" customHeight="false" outlineLevel="0" collapsed="false">
      <c r="A69" s="4" t="str">
        <f aca="false">Conteos!A69</f>
        <v>Q2o</v>
      </c>
      <c r="B69" s="4" t="str">
        <f aca="false">Conteos!B69</f>
        <v>Offsuit</v>
      </c>
      <c r="C69" s="6" t="n">
        <f aca="false">Conteos!C69</f>
        <v>12</v>
      </c>
      <c r="D69" s="7" t="n">
        <f aca="false">Conteos!E69/Conteos!$D69</f>
        <v>0.199517642394608</v>
      </c>
      <c r="E69" s="7" t="n">
        <f aca="false">Conteos!F69/Conteos!$D69</f>
        <v>0.461401952085182</v>
      </c>
      <c r="F69" s="7" t="n">
        <f aca="false">Conteos!G69/Conteos!$D69</f>
        <v>0.227864411259416</v>
      </c>
      <c r="G69" s="7" t="n">
        <f aca="false">Conteos!H69/Conteos!$D69</f>
        <v>0.0445449225018407</v>
      </c>
      <c r="H69" s="7" t="n">
        <f aca="false">Conteos!I69/Conteos!$D69</f>
        <v>0.0234523966848534</v>
      </c>
      <c r="I69" s="7" t="n">
        <f aca="false">Conteos!J69/Conteos!$D69</f>
        <v>0.019595423738413</v>
      </c>
      <c r="J69" s="7" t="n">
        <f aca="false">Conteos!K69/Conteos!$D69</f>
        <v>0.0222413109554645</v>
      </c>
      <c r="K69" s="7" t="n">
        <f aca="false">Conteos!L69/Conteos!$D69</f>
        <v>0.00125922709509336</v>
      </c>
      <c r="L69" s="7" t="n">
        <f aca="false">Conteos!M69/Conteos!$D69</f>
        <v>0.000122713285129038</v>
      </c>
      <c r="M69" s="7" t="n">
        <f aca="false">SUM(H69:L69)</f>
        <v>0.0666710717589534</v>
      </c>
      <c r="N69" s="7" t="n">
        <f aca="false">SUM(I69:L69)</f>
        <v>0.0432186750740999</v>
      </c>
      <c r="O69" s="7" t="n">
        <f aca="false">SUM(G69:L69)</f>
        <v>0.111215994260794</v>
      </c>
      <c r="P69" s="7" t="n">
        <f aca="false">Conteos!N69/Conteos!D69</f>
        <v>0.506695897600483</v>
      </c>
    </row>
    <row r="70" customFormat="false" ht="15" hidden="false" customHeight="false" outlineLevel="0" collapsed="false">
      <c r="A70" s="4" t="str">
        <f aca="false">Conteos!A70</f>
        <v>Q2s</v>
      </c>
      <c r="B70" s="4" t="str">
        <f aca="false">Conteos!B70</f>
        <v>Suited</v>
      </c>
      <c r="C70" s="6" t="n">
        <f aca="false">Conteos!C70</f>
        <v>4</v>
      </c>
      <c r="D70" s="7" t="n">
        <f aca="false">Conteos!E70/Conteos!$D70</f>
        <v>0.184402669485926</v>
      </c>
      <c r="E70" s="7" t="n">
        <f aca="false">Conteos!F70/Conteos!$D70</f>
        <v>0.438086427910665</v>
      </c>
      <c r="F70" s="7" t="n">
        <f aca="false">Conteos!G70/Conteos!$D70</f>
        <v>0.222646736770564</v>
      </c>
      <c r="G70" s="7" t="n">
        <f aca="false">Conteos!H70/Conteos!$D70</f>
        <v>0.0436882893768053</v>
      </c>
      <c r="H70" s="7" t="n">
        <f aca="false">Conteos!I70/Conteos!$D70</f>
        <v>0.021854764107308</v>
      </c>
      <c r="I70" s="7" t="n">
        <f aca="false">Conteos!J70/Conteos!$D70</f>
        <v>0.0656978610130454</v>
      </c>
      <c r="J70" s="7" t="n">
        <f aca="false">Conteos!K70/Conteos!$D70</f>
        <v>0.0222413109554645</v>
      </c>
      <c r="K70" s="7" t="n">
        <f aca="false">Conteos!L70/Conteos!$D70</f>
        <v>0.00125922709509336</v>
      </c>
      <c r="L70" s="7" t="n">
        <f aca="false">Conteos!M70/Conteos!$D70</f>
        <v>0.000122713285129038</v>
      </c>
      <c r="M70" s="7" t="n">
        <f aca="false">SUM(H70:L70)</f>
        <v>0.11117587645604</v>
      </c>
      <c r="N70" s="7" t="n">
        <f aca="false">SUM(I70:L70)</f>
        <v>0.0893211123487323</v>
      </c>
      <c r="O70" s="7" t="n">
        <f aca="false">SUM(G70:L70)</f>
        <v>0.154864165832846</v>
      </c>
      <c r="P70" s="7" t="n">
        <f aca="false">Conteos!N70/Conteos!D70</f>
        <v>0.541329362457286</v>
      </c>
    </row>
    <row r="71" customFormat="false" ht="15" hidden="false" customHeight="false" outlineLevel="0" collapsed="false">
      <c r="A71" s="4" t="str">
        <f aca="false">Conteos!A71</f>
        <v>JJ</v>
      </c>
      <c r="B71" s="4" t="str">
        <f aca="false">Conteos!B71</f>
        <v>Pareja</v>
      </c>
      <c r="C71" s="6" t="n">
        <f aca="false">Conteos!C71</f>
        <v>6</v>
      </c>
      <c r="D71" s="7" t="n">
        <f aca="false">Conteos!E71/Conteos!$D71</f>
        <v>0</v>
      </c>
      <c r="E71" s="7" t="n">
        <f aca="false">Conteos!F71/Conteos!$D71</f>
        <v>0.354178859332817</v>
      </c>
      <c r="F71" s="7" t="n">
        <f aca="false">Conteos!G71/Conteos!$D71</f>
        <v>0.395246276123771</v>
      </c>
      <c r="G71" s="7" t="n">
        <f aca="false">Conteos!H71/Conteos!$D71</f>
        <v>0.117260095527573</v>
      </c>
      <c r="H71" s="7" t="n">
        <f aca="false">Conteos!I71/Conteos!$D71</f>
        <v>0.0196964262115577</v>
      </c>
      <c r="I71" s="7" t="n">
        <f aca="false">Conteos!J71/Conteos!$D71</f>
        <v>0.0195331231475014</v>
      </c>
      <c r="J71" s="7" t="n">
        <f aca="false">Conteos!K71/Conteos!$D71</f>
        <v>0.0854764107308048</v>
      </c>
      <c r="K71" s="7" t="n">
        <f aca="false">Conteos!L71/Conteos!$D71</f>
        <v>0.00842379504993487</v>
      </c>
      <c r="L71" s="7" t="n">
        <f aca="false">Conteos!M71/Conteos!$D71</f>
        <v>0.000185013876040703</v>
      </c>
      <c r="M71" s="7" t="n">
        <f aca="false">SUM(H71:L71)</f>
        <v>0.133314769015839</v>
      </c>
      <c r="N71" s="7" t="n">
        <f aca="false">SUM(I71:L71)</f>
        <v>0.113618342804282</v>
      </c>
      <c r="O71" s="7" t="n">
        <f aca="false">SUM(G71:L71)</f>
        <v>0.250574864543412</v>
      </c>
      <c r="P71" s="7" t="n">
        <f aca="false">Conteos!N71/Conteos!D71</f>
        <v>0.947692990239574</v>
      </c>
    </row>
    <row r="72" customFormat="false" ht="15" hidden="false" customHeight="false" outlineLevel="0" collapsed="false">
      <c r="A72" s="4" t="str">
        <f aca="false">Conteos!A72</f>
        <v>JTo</v>
      </c>
      <c r="B72" s="4" t="str">
        <f aca="false">Conteos!B72</f>
        <v>Offsuit</v>
      </c>
      <c r="C72" s="6" t="n">
        <f aca="false">Conteos!C72</f>
        <v>12</v>
      </c>
      <c r="D72" s="7" t="n">
        <f aca="false">Conteos!E72/Conteos!$D72</f>
        <v>0.171482376484359</v>
      </c>
      <c r="E72" s="7" t="n">
        <f aca="false">Conteos!F72/Conteos!$D72</f>
        <v>0.427329192546584</v>
      </c>
      <c r="F72" s="7" t="n">
        <f aca="false">Conteos!G72/Conteos!$D72</f>
        <v>0.222748211217882</v>
      </c>
      <c r="G72" s="7" t="n">
        <f aca="false">Conteos!H72/Conteos!$D72</f>
        <v>0.0434650455927052</v>
      </c>
      <c r="H72" s="7" t="n">
        <f aca="false">Conteos!I72/Conteos!$D72</f>
        <v>0.0917564990843701</v>
      </c>
      <c r="I72" s="7" t="n">
        <f aca="false">Conteos!J72/Conteos!$D72</f>
        <v>0.0195123562838641</v>
      </c>
      <c r="J72" s="7" t="n">
        <f aca="false">Conteos!K72/Conteos!$D72</f>
        <v>0.0222413109554645</v>
      </c>
      <c r="K72" s="7" t="n">
        <f aca="false">Conteos!L72/Conteos!$D72</f>
        <v>0.00125922709509336</v>
      </c>
      <c r="L72" s="7" t="n">
        <f aca="false">Conteos!M72/Conteos!$D72</f>
        <v>0.000205780739677925</v>
      </c>
      <c r="M72" s="7" t="n">
        <f aca="false">SUM(H72:L72)</f>
        <v>0.13497517415847</v>
      </c>
      <c r="N72" s="7" t="n">
        <f aca="false">SUM(I72:L72)</f>
        <v>0.0432186750740999</v>
      </c>
      <c r="O72" s="7" t="n">
        <f aca="false">SUM(G72:L72)</f>
        <v>0.178440219751175</v>
      </c>
      <c r="P72" s="7" t="n">
        <f aca="false">Conteos!N72/Conteos!D72</f>
        <v>0.553389246540429</v>
      </c>
    </row>
    <row r="73" customFormat="false" ht="15" hidden="false" customHeight="false" outlineLevel="0" collapsed="false">
      <c r="A73" s="4" t="str">
        <f aca="false">Conteos!A73</f>
        <v>JTs</v>
      </c>
      <c r="B73" s="4" t="str">
        <f aca="false">Conteos!B73</f>
        <v>Suited</v>
      </c>
      <c r="C73" s="6" t="n">
        <f aca="false">Conteos!C73</f>
        <v>4</v>
      </c>
      <c r="D73" s="7" t="n">
        <f aca="false">Conteos!E73/Conteos!$D73</f>
        <v>0.158491287356756</v>
      </c>
      <c r="E73" s="7" t="n">
        <f aca="false">Conteos!F73/Conteos!$D73</f>
        <v>0.405735430157262</v>
      </c>
      <c r="F73" s="7" t="n">
        <f aca="false">Conteos!G73/Conteos!$D73</f>
        <v>0.217657025807548</v>
      </c>
      <c r="G73" s="7" t="n">
        <f aca="false">Conteos!H73/Conteos!$D73</f>
        <v>0.042629179331307</v>
      </c>
      <c r="H73" s="7" t="n">
        <f aca="false">Conteos!I73/Conteos!$D73</f>
        <v>0.0861659649983953</v>
      </c>
      <c r="I73" s="7" t="n">
        <f aca="false">Conteos!J73/Conteos!$D73</f>
        <v>0.0638288432856954</v>
      </c>
      <c r="J73" s="7" t="n">
        <f aca="false">Conteos!K73/Conteos!$D73</f>
        <v>0.0222413109554645</v>
      </c>
      <c r="K73" s="7" t="n">
        <f aca="false">Conteos!L73/Conteos!$D73</f>
        <v>0.00125922709509336</v>
      </c>
      <c r="L73" s="7" t="n">
        <f aca="false">Conteos!M73/Conteos!$D73</f>
        <v>0.001991731012479</v>
      </c>
      <c r="M73" s="7" t="n">
        <f aca="false">SUM(H73:L73)</f>
        <v>0.175487077347128</v>
      </c>
      <c r="N73" s="7" t="n">
        <f aca="false">SUM(I73:L73)</f>
        <v>0.0893211123487323</v>
      </c>
      <c r="O73" s="7" t="n">
        <f aca="false">SUM(G73:L73)</f>
        <v>0.218116256678435</v>
      </c>
      <c r="P73" s="7" t="n">
        <f aca="false">Conteos!N73/Conteos!D73</f>
        <v>0.584588627310314</v>
      </c>
    </row>
    <row r="74" customFormat="false" ht="15" hidden="false" customHeight="false" outlineLevel="0" collapsed="false">
      <c r="A74" s="4" t="str">
        <f aca="false">Conteos!A74</f>
        <v>J9o</v>
      </c>
      <c r="B74" s="4" t="str">
        <f aca="false">Conteos!B74</f>
        <v>Offsuit</v>
      </c>
      <c r="C74" s="6" t="n">
        <f aca="false">Conteos!C74</f>
        <v>12</v>
      </c>
      <c r="D74" s="7" t="n">
        <f aca="false">Conteos!E74/Conteos!$D74</f>
        <v>0.178958447393759</v>
      </c>
      <c r="E74" s="7" t="n">
        <f aca="false">Conteos!F74/Conteos!$D74</f>
        <v>0.435847382431233</v>
      </c>
      <c r="F74" s="7" t="n">
        <f aca="false">Conteos!G74/Conteos!$D74</f>
        <v>0.224027261228266</v>
      </c>
      <c r="G74" s="7" t="n">
        <f aca="false">Conteos!H74/Conteos!$D74</f>
        <v>0.0437350148199891</v>
      </c>
      <c r="H74" s="7" t="n">
        <f aca="false">Conteos!I74/Conteos!$D74</f>
        <v>0.0742132190526534</v>
      </c>
      <c r="I74" s="7" t="n">
        <f aca="false">Conteos!J74/Conteos!$D74</f>
        <v>0.0195128282580377</v>
      </c>
      <c r="J74" s="7" t="n">
        <f aca="false">Conteos!K74/Conteos!$D74</f>
        <v>0.0222413109554645</v>
      </c>
      <c r="K74" s="7" t="n">
        <f aca="false">Conteos!L74/Conteos!$D74</f>
        <v>0.00125922709509336</v>
      </c>
      <c r="L74" s="7" t="n">
        <f aca="false">Conteos!M74/Conteos!$D74</f>
        <v>0.000205308765504352</v>
      </c>
      <c r="M74" s="7" t="n">
        <f aca="false">SUM(H74:L74)</f>
        <v>0.117431894126753</v>
      </c>
      <c r="N74" s="7" t="n">
        <f aca="false">SUM(I74:L74)</f>
        <v>0.0432186750740999</v>
      </c>
      <c r="O74" s="7" t="n">
        <f aca="false">SUM(G74:L74)</f>
        <v>0.161166908946742</v>
      </c>
      <c r="P74" s="7" t="n">
        <f aca="false">Conteos!N74/Conteos!D74</f>
        <v>0.541365704468652</v>
      </c>
    </row>
    <row r="75" customFormat="false" ht="15" hidden="false" customHeight="false" outlineLevel="0" collapsed="false">
      <c r="A75" s="4" t="str">
        <f aca="false">Conteos!A75</f>
        <v>J9s</v>
      </c>
      <c r="B75" s="4" t="str">
        <f aca="false">Conteos!B75</f>
        <v>Suited</v>
      </c>
      <c r="C75" s="6" t="n">
        <f aca="false">Conteos!C75</f>
        <v>4</v>
      </c>
      <c r="D75" s="7" t="n">
        <f aca="false">Conteos!E75/Conteos!$D75</f>
        <v>0.165400989257868</v>
      </c>
      <c r="E75" s="7" t="n">
        <f aca="false">Conteos!F75/Conteos!$D75</f>
        <v>0.413823179595613</v>
      </c>
      <c r="F75" s="7" t="n">
        <f aca="false">Conteos!G75/Conteos!$D75</f>
        <v>0.218904453548302</v>
      </c>
      <c r="G75" s="7" t="n">
        <f aca="false">Conteos!H75/Conteos!$D75</f>
        <v>0.0428939568426816</v>
      </c>
      <c r="H75" s="7" t="n">
        <f aca="false">Conteos!I75/Conteos!$D75</f>
        <v>0.069656308406804</v>
      </c>
      <c r="I75" s="7" t="n">
        <f aca="false">Conteos!J75/Conteos!$D75</f>
        <v>0.0642965696917065</v>
      </c>
      <c r="J75" s="7" t="n">
        <f aca="false">Conteos!K75/Conteos!$D75</f>
        <v>0.0222413109554645</v>
      </c>
      <c r="K75" s="7" t="n">
        <f aca="false">Conteos!L75/Conteos!$D75</f>
        <v>0.00125922709509336</v>
      </c>
      <c r="L75" s="7" t="n">
        <f aca="false">Conteos!M75/Conteos!$D75</f>
        <v>0.00152400460646793</v>
      </c>
      <c r="M75" s="7" t="n">
        <f aca="false">SUM(H75:L75)</f>
        <v>0.158977420755536</v>
      </c>
      <c r="N75" s="7" t="n">
        <f aca="false">SUM(I75:L75)</f>
        <v>0.0893211123487323</v>
      </c>
      <c r="O75" s="7" t="n">
        <f aca="false">SUM(G75:L75)</f>
        <v>0.201871377598218</v>
      </c>
      <c r="P75" s="7" t="n">
        <f aca="false">Conteos!N75/Conteos!D75</f>
        <v>0.573431157847043</v>
      </c>
    </row>
    <row r="76" customFormat="false" ht="15" hidden="false" customHeight="false" outlineLevel="0" collapsed="false">
      <c r="A76" s="4" t="str">
        <f aca="false">Conteos!A76</f>
        <v>J8o</v>
      </c>
      <c r="B76" s="4" t="str">
        <f aca="false">Conteos!B76</f>
        <v>Offsuit</v>
      </c>
      <c r="C76" s="6" t="n">
        <f aca="false">Conteos!C76</f>
        <v>12</v>
      </c>
      <c r="D76" s="7" t="n">
        <f aca="false">Conteos!E76/Conteos!$D76</f>
        <v>0.183630991712134</v>
      </c>
      <c r="E76" s="7" t="n">
        <f aca="false">Conteos!F76/Conteos!$D76</f>
        <v>0.442945874001775</v>
      </c>
      <c r="F76" s="7" t="n">
        <f aca="false">Conteos!G76/Conteos!$D76</f>
        <v>0.225306311238649</v>
      </c>
      <c r="G76" s="7" t="n">
        <f aca="false">Conteos!H76/Conteos!$D76</f>
        <v>0.0440049840472729</v>
      </c>
      <c r="H76" s="7" t="n">
        <f aca="false">Conteos!I76/Conteos!$D76</f>
        <v>0.06089316392607</v>
      </c>
      <c r="I76" s="7" t="n">
        <f aca="false">Conteos!J76/Conteos!$D76</f>
        <v>0.0195128282580377</v>
      </c>
      <c r="J76" s="7" t="n">
        <f aca="false">Conteos!K76/Conteos!$D76</f>
        <v>0.0222413109554645</v>
      </c>
      <c r="K76" s="7" t="n">
        <f aca="false">Conteos!L76/Conteos!$D76</f>
        <v>0.00125922709509336</v>
      </c>
      <c r="L76" s="7" t="n">
        <f aca="false">Conteos!M76/Conteos!$D76</f>
        <v>0.000205308765504352</v>
      </c>
      <c r="M76" s="7" t="n">
        <f aca="false">SUM(H76:L76)</f>
        <v>0.10411183900017</v>
      </c>
      <c r="N76" s="7" t="n">
        <f aca="false">SUM(I76:L76)</f>
        <v>0.0432186750740999</v>
      </c>
      <c r="O76" s="7" t="n">
        <f aca="false">SUM(G76:L76)</f>
        <v>0.148116823047443</v>
      </c>
      <c r="P76" s="7" t="n">
        <f aca="false">Conteos!N76/Conteos!D76</f>
        <v>0.532859785912515</v>
      </c>
    </row>
    <row r="77" customFormat="false" ht="15" hidden="false" customHeight="false" outlineLevel="0" collapsed="false">
      <c r="A77" s="4" t="str">
        <f aca="false">Conteos!A77</f>
        <v>J8s</v>
      </c>
      <c r="B77" s="4" t="str">
        <f aca="false">Conteos!B77</f>
        <v>Suited</v>
      </c>
      <c r="C77" s="6" t="n">
        <f aca="false">Conteos!C77</f>
        <v>4</v>
      </c>
      <c r="D77" s="7" t="n">
        <f aca="false">Conteos!E77/Conteos!$D77</f>
        <v>0.169719552946063</v>
      </c>
      <c r="E77" s="7" t="n">
        <f aca="false">Conteos!F77/Conteos!$D77</f>
        <v>0.420562970794238</v>
      </c>
      <c r="F77" s="7" t="n">
        <f aca="false">Conteos!G77/Conteos!$D77</f>
        <v>0.220151881289056</v>
      </c>
      <c r="G77" s="7" t="n">
        <f aca="false">Conteos!H77/Conteos!$D77</f>
        <v>0.0431587343540561</v>
      </c>
      <c r="H77" s="7" t="n">
        <f aca="false">Conteos!I77/Conteos!$D77</f>
        <v>0.0570857482678548</v>
      </c>
      <c r="I77" s="7" t="n">
        <f aca="false">Conteos!J77/Conteos!$D77</f>
        <v>0.0647430572599067</v>
      </c>
      <c r="J77" s="7" t="n">
        <f aca="false">Conteos!K77/Conteos!$D77</f>
        <v>0.0222413109554645</v>
      </c>
      <c r="K77" s="7" t="n">
        <f aca="false">Conteos!L77/Conteos!$D77</f>
        <v>0.00125922709509336</v>
      </c>
      <c r="L77" s="7" t="n">
        <f aca="false">Conteos!M77/Conteos!$D77</f>
        <v>0.00107751703826767</v>
      </c>
      <c r="M77" s="7" t="n">
        <f aca="false">SUM(H77:L77)</f>
        <v>0.146406860616587</v>
      </c>
      <c r="N77" s="7" t="n">
        <f aca="false">SUM(I77:L77)</f>
        <v>0.0893211123487323</v>
      </c>
      <c r="O77" s="7" t="n">
        <f aca="false">SUM(G77:L77)</f>
        <v>0.189565594970643</v>
      </c>
      <c r="P77" s="7" t="n">
        <f aca="false">Conteos!N77/Conteos!D77</f>
        <v>0.565530310181427</v>
      </c>
    </row>
    <row r="78" customFormat="false" ht="15" hidden="false" customHeight="false" outlineLevel="0" collapsed="false">
      <c r="A78" s="4" t="str">
        <f aca="false">Conteos!A78</f>
        <v>J7o</v>
      </c>
      <c r="B78" s="4" t="str">
        <f aca="false">Conteos!B78</f>
        <v>Offsuit</v>
      </c>
      <c r="C78" s="6" t="n">
        <f aca="false">Conteos!C78</f>
        <v>12</v>
      </c>
      <c r="D78" s="7" t="n">
        <f aca="false">Conteos!E78/Conteos!$D78</f>
        <v>0.188303536030508</v>
      </c>
      <c r="E78" s="7" t="n">
        <f aca="false">Conteos!F78/Conteos!$D78</f>
        <v>0.450044365572316</v>
      </c>
      <c r="F78" s="7" t="n">
        <f aca="false">Conteos!G78/Conteos!$D78</f>
        <v>0.226585361249032</v>
      </c>
      <c r="G78" s="7" t="n">
        <f aca="false">Conteos!H78/Conteos!$D78</f>
        <v>0.0442749532745568</v>
      </c>
      <c r="H78" s="7" t="n">
        <f aca="false">Conteos!I78/Conteos!$D78</f>
        <v>0.0475731087994865</v>
      </c>
      <c r="I78" s="7" t="n">
        <f aca="false">Conteos!J78/Conteos!$D78</f>
        <v>0.0195128282580377</v>
      </c>
      <c r="J78" s="7" t="n">
        <f aca="false">Conteos!K78/Conteos!$D78</f>
        <v>0.0222413109554645</v>
      </c>
      <c r="K78" s="7" t="n">
        <f aca="false">Conteos!L78/Conteos!$D78</f>
        <v>0.00125922709509336</v>
      </c>
      <c r="L78" s="7" t="n">
        <f aca="false">Conteos!M78/Conteos!$D78</f>
        <v>0.000205308765504352</v>
      </c>
      <c r="M78" s="7" t="n">
        <f aca="false">SUM(H78:L78)</f>
        <v>0.0907917838735864</v>
      </c>
      <c r="N78" s="7" t="n">
        <f aca="false">SUM(I78:L78)</f>
        <v>0.0432186750740999</v>
      </c>
      <c r="O78" s="7" t="n">
        <f aca="false">SUM(G78:L78)</f>
        <v>0.135066737148143</v>
      </c>
      <c r="P78" s="7" t="n">
        <f aca="false">Conteos!N78/Conteos!D78</f>
        <v>0.524353867356378</v>
      </c>
    </row>
    <row r="79" customFormat="false" ht="15" hidden="false" customHeight="false" outlineLevel="0" collapsed="false">
      <c r="A79" s="4" t="str">
        <f aca="false">Conteos!A79</f>
        <v>J7s</v>
      </c>
      <c r="B79" s="4" t="str">
        <f aca="false">Conteos!B79</f>
        <v>Suited</v>
      </c>
      <c r="C79" s="6" t="n">
        <f aca="false">Conteos!C79</f>
        <v>4</v>
      </c>
      <c r="D79" s="7" t="n">
        <f aca="false">Conteos!E79/Conteos!$D79</f>
        <v>0.174038116634258</v>
      </c>
      <c r="E79" s="7" t="n">
        <f aca="false">Conteos!F79/Conteos!$D79</f>
        <v>0.427302761992864</v>
      </c>
      <c r="F79" s="7" t="n">
        <f aca="false">Conteos!G79/Conteos!$D79</f>
        <v>0.22139930902981</v>
      </c>
      <c r="G79" s="7" t="n">
        <f aca="false">Conteos!H79/Conteos!$D79</f>
        <v>0.0434235118654307</v>
      </c>
      <c r="H79" s="7" t="n">
        <f aca="false">Conteos!I79/Conteos!$D79</f>
        <v>0.0445151881289056</v>
      </c>
      <c r="I79" s="7" t="n">
        <f aca="false">Conteos!J79/Conteos!$D79</f>
        <v>0.065189544828107</v>
      </c>
      <c r="J79" s="7" t="n">
        <f aca="false">Conteos!K79/Conteos!$D79</f>
        <v>0.0222413109554645</v>
      </c>
      <c r="K79" s="7" t="n">
        <f aca="false">Conteos!L79/Conteos!$D79</f>
        <v>0.00125922709509336</v>
      </c>
      <c r="L79" s="7" t="n">
        <f aca="false">Conteos!M79/Conteos!$D79</f>
        <v>0.000631029470067398</v>
      </c>
      <c r="M79" s="7" t="n">
        <f aca="false">SUM(H79:L79)</f>
        <v>0.133836300477638</v>
      </c>
      <c r="N79" s="7" t="n">
        <f aca="false">SUM(I79:L79)</f>
        <v>0.0893211123487323</v>
      </c>
      <c r="O79" s="7" t="n">
        <f aca="false">SUM(G79:L79)</f>
        <v>0.177259812343069</v>
      </c>
      <c r="P79" s="7" t="n">
        <f aca="false">Conteos!N79/Conteos!D79</f>
        <v>0.557629462515811</v>
      </c>
    </row>
    <row r="80" customFormat="false" ht="15" hidden="false" customHeight="false" outlineLevel="0" collapsed="false">
      <c r="A80" s="4" t="str">
        <f aca="false">Conteos!A80</f>
        <v>J6o</v>
      </c>
      <c r="B80" s="4" t="str">
        <f aca="false">Conteos!B80</f>
        <v>Offsuit</v>
      </c>
      <c r="C80" s="6" t="n">
        <f aca="false">Conteos!C80</f>
        <v>12</v>
      </c>
      <c r="D80" s="7" t="n">
        <f aca="false">Conteos!E80/Conteos!$D80</f>
        <v>0.192976080348883</v>
      </c>
      <c r="E80" s="7" t="n">
        <f aca="false">Conteos!F80/Conteos!$D80</f>
        <v>0.457142857142857</v>
      </c>
      <c r="F80" s="7" t="n">
        <f aca="false">Conteos!G80/Conteos!$D80</f>
        <v>0.227864411259416</v>
      </c>
      <c r="G80" s="7" t="n">
        <f aca="false">Conteos!H80/Conteos!$D80</f>
        <v>0.0445449225018407</v>
      </c>
      <c r="H80" s="7" t="n">
        <f aca="false">Conteos!I80/Conteos!$D80</f>
        <v>0.034253053672903</v>
      </c>
      <c r="I80" s="7" t="n">
        <f aca="false">Conteos!J80/Conteos!$D80</f>
        <v>0.0195128282580377</v>
      </c>
      <c r="J80" s="7" t="n">
        <f aca="false">Conteos!K80/Conteos!$D80</f>
        <v>0.0222413109554645</v>
      </c>
      <c r="K80" s="7" t="n">
        <f aca="false">Conteos!L80/Conteos!$D80</f>
        <v>0.00125922709509336</v>
      </c>
      <c r="L80" s="7" t="n">
        <f aca="false">Conteos!M80/Conteos!$D80</f>
        <v>0.000205308765504352</v>
      </c>
      <c r="M80" s="7" t="n">
        <f aca="false">SUM(H80:L80)</f>
        <v>0.077471728747003</v>
      </c>
      <c r="N80" s="7" t="n">
        <f aca="false">SUM(I80:L80)</f>
        <v>0.0432186750740999</v>
      </c>
      <c r="O80" s="7" t="n">
        <f aca="false">SUM(G80:L80)</f>
        <v>0.122016651248844</v>
      </c>
      <c r="P80" s="7" t="n">
        <f aca="false">Conteos!N80/Conteos!D80</f>
        <v>0.515847948800242</v>
      </c>
    </row>
    <row r="81" customFormat="false" ht="15" hidden="false" customHeight="false" outlineLevel="0" collapsed="false">
      <c r="A81" s="4" t="str">
        <f aca="false">Conteos!A81</f>
        <v>J6s</v>
      </c>
      <c r="B81" s="4" t="str">
        <f aca="false">Conteos!B81</f>
        <v>Suited</v>
      </c>
      <c r="C81" s="6" t="n">
        <f aca="false">Conteos!C81</f>
        <v>4</v>
      </c>
      <c r="D81" s="7" t="n">
        <f aca="false">Conteos!E81/Conteos!$D81</f>
        <v>0.178356680322453</v>
      </c>
      <c r="E81" s="7" t="n">
        <f aca="false">Conteos!F81/Conteos!$D81</f>
        <v>0.434042553191489</v>
      </c>
      <c r="F81" s="7" t="n">
        <f aca="false">Conteos!G81/Conteos!$D81</f>
        <v>0.222646736770564</v>
      </c>
      <c r="G81" s="7" t="n">
        <f aca="false">Conteos!H81/Conteos!$D81</f>
        <v>0.0436882893768053</v>
      </c>
      <c r="H81" s="7" t="n">
        <f aca="false">Conteos!I81/Conteos!$D81</f>
        <v>0.0319446279899564</v>
      </c>
      <c r="I81" s="7" t="n">
        <f aca="false">Conteos!J81/Conteos!$D81</f>
        <v>0.0656360323963073</v>
      </c>
      <c r="J81" s="7" t="n">
        <f aca="false">Conteos!K81/Conteos!$D81</f>
        <v>0.0222413109554645</v>
      </c>
      <c r="K81" s="7" t="n">
        <f aca="false">Conteos!L81/Conteos!$D81</f>
        <v>0.00125922709509336</v>
      </c>
      <c r="L81" s="7" t="n">
        <f aca="false">Conteos!M81/Conteos!$D81</f>
        <v>0.00018454190186713</v>
      </c>
      <c r="M81" s="7" t="n">
        <f aca="false">SUM(H81:L81)</f>
        <v>0.121265740338689</v>
      </c>
      <c r="N81" s="7" t="n">
        <f aca="false">SUM(I81:L81)</f>
        <v>0.0893211123487323</v>
      </c>
      <c r="O81" s="7" t="n">
        <f aca="false">SUM(G81:L81)</f>
        <v>0.164954029715494</v>
      </c>
      <c r="P81" s="7" t="n">
        <f aca="false">Conteos!N81/Conteos!D81</f>
        <v>0.549728614850195</v>
      </c>
    </row>
    <row r="82" customFormat="false" ht="15" hidden="false" customHeight="false" outlineLevel="0" collapsed="false">
      <c r="A82" s="4" t="str">
        <f aca="false">Conteos!A82</f>
        <v>J5o</v>
      </c>
      <c r="B82" s="4" t="str">
        <f aca="false">Conteos!B82</f>
        <v>Offsuit</v>
      </c>
      <c r="C82" s="6" t="n">
        <f aca="false">Conteos!C82</f>
        <v>12</v>
      </c>
      <c r="D82" s="7" t="n">
        <f aca="false">Conteos!E82/Conteos!$D82</f>
        <v>0.190172553757858</v>
      </c>
      <c r="E82" s="7" t="n">
        <f aca="false">Conteos!F82/Conteos!$D82</f>
        <v>0.455723158828749</v>
      </c>
      <c r="F82" s="7" t="n">
        <f aca="false">Conteos!G82/Conteos!$D82</f>
        <v>0.227864411259416</v>
      </c>
      <c r="G82" s="7" t="n">
        <f aca="false">Conteos!H82/Conteos!$D82</f>
        <v>0.0445449225018407</v>
      </c>
      <c r="H82" s="7" t="n">
        <f aca="false">Conteos!I82/Conteos!$D82</f>
        <v>0.0384762785780362</v>
      </c>
      <c r="I82" s="7" t="n">
        <f aca="false">Conteos!J82/Conteos!$D82</f>
        <v>0.0195123562838641</v>
      </c>
      <c r="J82" s="7" t="n">
        <f aca="false">Conteos!K82/Conteos!$D82</f>
        <v>0.0222413109554645</v>
      </c>
      <c r="K82" s="7" t="n">
        <f aca="false">Conteos!L82/Conteos!$D82</f>
        <v>0.00125922709509336</v>
      </c>
      <c r="L82" s="7" t="n">
        <f aca="false">Conteos!M82/Conteos!$D82</f>
        <v>0.000205780739677925</v>
      </c>
      <c r="M82" s="7" t="n">
        <f aca="false">SUM(H82:L82)</f>
        <v>0.0816949536521362</v>
      </c>
      <c r="N82" s="7" t="n">
        <f aca="false">SUM(I82:L82)</f>
        <v>0.0432186750740999</v>
      </c>
      <c r="O82" s="7" t="n">
        <f aca="false">SUM(G82:L82)</f>
        <v>0.126239876153977</v>
      </c>
      <c r="P82" s="7" t="n">
        <f aca="false">Conteos!N82/Conteos!D82</f>
        <v>0.519365572315883</v>
      </c>
    </row>
    <row r="83" customFormat="false" ht="15" hidden="false" customHeight="false" outlineLevel="0" collapsed="false">
      <c r="A83" s="4" t="str">
        <f aca="false">Conteos!A83</f>
        <v>J5s</v>
      </c>
      <c r="B83" s="4" t="str">
        <f aca="false">Conteos!B83</f>
        <v>Suited</v>
      </c>
      <c r="C83" s="6" t="n">
        <f aca="false">Conteos!C83</f>
        <v>4</v>
      </c>
      <c r="D83" s="7" t="n">
        <f aca="false">Conteos!E83/Conteos!$D83</f>
        <v>0.175765542109536</v>
      </c>
      <c r="E83" s="7" t="n">
        <f aca="false">Conteos!F83/Conteos!$D83</f>
        <v>0.432694594951764</v>
      </c>
      <c r="F83" s="7" t="n">
        <f aca="false">Conteos!G83/Conteos!$D83</f>
        <v>0.222646736770564</v>
      </c>
      <c r="G83" s="7" t="n">
        <f aca="false">Conteos!H83/Conteos!$D83</f>
        <v>0.0436882893768053</v>
      </c>
      <c r="H83" s="7" t="n">
        <f aca="false">Conteos!I83/Conteos!$D83</f>
        <v>0.0358837244425985</v>
      </c>
      <c r="I83" s="7" t="n">
        <f aca="false">Conteos!J83/Conteos!$D83</f>
        <v>0.0656147935584965</v>
      </c>
      <c r="J83" s="7" t="n">
        <f aca="false">Conteos!K83/Conteos!$D83</f>
        <v>0.0222413109554645</v>
      </c>
      <c r="K83" s="7" t="n">
        <f aca="false">Conteos!L83/Conteos!$D83</f>
        <v>0.00125922709509336</v>
      </c>
      <c r="L83" s="7" t="n">
        <f aca="false">Conteos!M83/Conteos!$D83</f>
        <v>0.000205780739677925</v>
      </c>
      <c r="M83" s="7" t="n">
        <f aca="false">SUM(H83:L83)</f>
        <v>0.125204836791331</v>
      </c>
      <c r="N83" s="7" t="n">
        <f aca="false">SUM(I83:L83)</f>
        <v>0.0893211123487323</v>
      </c>
      <c r="O83" s="7" t="n">
        <f aca="false">SUM(G83:L83)</f>
        <v>0.168893126168136</v>
      </c>
      <c r="P83" s="7" t="n">
        <f aca="false">Conteos!N83/Conteos!D83</f>
        <v>0.552985236647851</v>
      </c>
    </row>
    <row r="84" customFormat="false" ht="15" hidden="false" customHeight="false" outlineLevel="0" collapsed="false">
      <c r="A84" s="4" t="str">
        <f aca="false">Conteos!A84</f>
        <v>J4o</v>
      </c>
      <c r="B84" s="4" t="str">
        <f aca="false">Conteos!B84</f>
        <v>Offsuit</v>
      </c>
      <c r="C84" s="6" t="n">
        <f aca="false">Conteos!C84</f>
        <v>12</v>
      </c>
      <c r="D84" s="7" t="n">
        <f aca="false">Conteos!E84/Conteos!$D84</f>
        <v>0.192508825917046</v>
      </c>
      <c r="E84" s="7" t="n">
        <f aca="false">Conteos!F84/Conteos!$D84</f>
        <v>0.457142857142857</v>
      </c>
      <c r="F84" s="7" t="n">
        <f aca="false">Conteos!G84/Conteos!$D84</f>
        <v>0.227864411259416</v>
      </c>
      <c r="G84" s="7" t="n">
        <f aca="false">Conteos!H84/Conteos!$D84</f>
        <v>0.0445449225018407</v>
      </c>
      <c r="H84" s="7" t="n">
        <f aca="false">Conteos!I84/Conteos!$D84</f>
        <v>0.0347203081047405</v>
      </c>
      <c r="I84" s="7" t="n">
        <f aca="false">Conteos!J84/Conteos!$D84</f>
        <v>0.0195331231475014</v>
      </c>
      <c r="J84" s="7" t="n">
        <f aca="false">Conteos!K84/Conteos!$D84</f>
        <v>0.0222413109554645</v>
      </c>
      <c r="K84" s="7" t="n">
        <f aca="false">Conteos!L84/Conteos!$D84</f>
        <v>0.00125922709509336</v>
      </c>
      <c r="L84" s="7" t="n">
        <f aca="false">Conteos!M84/Conteos!$D84</f>
        <v>0.000185013876040703</v>
      </c>
      <c r="M84" s="7" t="n">
        <f aca="false">SUM(H84:L84)</f>
        <v>0.0779389831788405</v>
      </c>
      <c r="N84" s="7" t="n">
        <f aca="false">SUM(I84:L84)</f>
        <v>0.0432186750740999</v>
      </c>
      <c r="O84" s="7" t="n">
        <f aca="false">SUM(G84:L84)</f>
        <v>0.122483905680681</v>
      </c>
      <c r="P84" s="7" t="n">
        <f aca="false">Conteos!N84/Conteos!D84</f>
        <v>0.516198153637033</v>
      </c>
    </row>
    <row r="85" customFormat="false" ht="15" hidden="false" customHeight="false" outlineLevel="0" collapsed="false">
      <c r="A85" s="4" t="str">
        <f aca="false">Conteos!A85</f>
        <v>J4s</v>
      </c>
      <c r="B85" s="4" t="str">
        <f aca="false">Conteos!B85</f>
        <v>Suited</v>
      </c>
      <c r="C85" s="6" t="n">
        <f aca="false">Conteos!C85</f>
        <v>4</v>
      </c>
      <c r="D85" s="7" t="n">
        <f aca="false">Conteos!E85/Conteos!$D85</f>
        <v>0.177924823953633</v>
      </c>
      <c r="E85" s="7" t="n">
        <f aca="false">Conteos!F85/Conteos!$D85</f>
        <v>0.434042553191489</v>
      </c>
      <c r="F85" s="7" t="n">
        <f aca="false">Conteos!G85/Conteos!$D85</f>
        <v>0.222646736770564</v>
      </c>
      <c r="G85" s="7" t="n">
        <f aca="false">Conteos!H85/Conteos!$D85</f>
        <v>0.0436882893768053</v>
      </c>
      <c r="H85" s="7" t="n">
        <f aca="false">Conteos!I85/Conteos!$D85</f>
        <v>0.0323764843587759</v>
      </c>
      <c r="I85" s="7" t="n">
        <f aca="false">Conteos!J85/Conteos!$D85</f>
        <v>0.0656355604221337</v>
      </c>
      <c r="J85" s="7" t="n">
        <f aca="false">Conteos!K85/Conteos!$D85</f>
        <v>0.0222413109554645</v>
      </c>
      <c r="K85" s="7" t="n">
        <f aca="false">Conteos!L85/Conteos!$D85</f>
        <v>0.00125922709509336</v>
      </c>
      <c r="L85" s="7" t="n">
        <f aca="false">Conteos!M85/Conteos!$D85</f>
        <v>0.000185013876040703</v>
      </c>
      <c r="M85" s="7" t="n">
        <f aca="false">SUM(H85:L85)</f>
        <v>0.121697596707508</v>
      </c>
      <c r="N85" s="7" t="n">
        <f aca="false">SUM(I85:L85)</f>
        <v>0.0893211123487323</v>
      </c>
      <c r="O85" s="7" t="n">
        <f aca="false">SUM(G85:L85)</f>
        <v>0.165385886084313</v>
      </c>
      <c r="P85" s="7" t="n">
        <f aca="false">Conteos!N85/Conteos!D85</f>
        <v>0.55007126810021</v>
      </c>
    </row>
    <row r="86" customFormat="false" ht="15" hidden="false" customHeight="false" outlineLevel="0" collapsed="false">
      <c r="A86" s="4" t="str">
        <f aca="false">Conteos!A86</f>
        <v>J3o</v>
      </c>
      <c r="B86" s="4" t="str">
        <f aca="false">Conteos!B86</f>
        <v>Offsuit</v>
      </c>
      <c r="C86" s="6" t="n">
        <f aca="false">Conteos!C86</f>
        <v>12</v>
      </c>
      <c r="D86" s="7" t="n">
        <f aca="false">Conteos!E86/Conteos!$D86</f>
        <v>0.194845098076233</v>
      </c>
      <c r="E86" s="7" t="n">
        <f aca="false">Conteos!F86/Conteos!$D86</f>
        <v>0.458562555456965</v>
      </c>
      <c r="F86" s="7" t="n">
        <f aca="false">Conteos!G86/Conteos!$D86</f>
        <v>0.227864411259416</v>
      </c>
      <c r="G86" s="7" t="n">
        <f aca="false">Conteos!H86/Conteos!$D86</f>
        <v>0.0445449225018407</v>
      </c>
      <c r="H86" s="7" t="n">
        <f aca="false">Conteos!I86/Conteos!$D86</f>
        <v>0.0309643376314448</v>
      </c>
      <c r="I86" s="7" t="n">
        <f aca="false">Conteos!J86/Conteos!$D86</f>
        <v>0.0195538900111386</v>
      </c>
      <c r="J86" s="7" t="n">
        <f aca="false">Conteos!K86/Conteos!$D86</f>
        <v>0.0222413109554645</v>
      </c>
      <c r="K86" s="7" t="n">
        <f aca="false">Conteos!L86/Conteos!$D86</f>
        <v>0.00125922709509336</v>
      </c>
      <c r="L86" s="7" t="n">
        <f aca="false">Conteos!M86/Conteos!$D86</f>
        <v>0.000164247012403481</v>
      </c>
      <c r="M86" s="7" t="n">
        <f aca="false">SUM(H86:L86)</f>
        <v>0.0741830127055448</v>
      </c>
      <c r="N86" s="7" t="n">
        <f aca="false">SUM(I86:L86)</f>
        <v>0.0432186750740999</v>
      </c>
      <c r="O86" s="7" t="n">
        <f aca="false">SUM(G86:L86)</f>
        <v>0.118727935207385</v>
      </c>
      <c r="P86" s="7" t="n">
        <f aca="false">Conteos!N86/Conteos!D86</f>
        <v>0.513030734958183</v>
      </c>
    </row>
    <row r="87" customFormat="false" ht="15" hidden="false" customHeight="false" outlineLevel="0" collapsed="false">
      <c r="A87" s="4" t="str">
        <f aca="false">Conteos!A87</f>
        <v>J3s</v>
      </c>
      <c r="B87" s="4" t="str">
        <f aca="false">Conteos!B87</f>
        <v>Suited</v>
      </c>
      <c r="C87" s="6" t="n">
        <f aca="false">Conteos!C87</f>
        <v>4</v>
      </c>
      <c r="D87" s="7" t="n">
        <f aca="false">Conteos!E87/Conteos!$D87</f>
        <v>0.180084105797731</v>
      </c>
      <c r="E87" s="7" t="n">
        <f aca="false">Conteos!F87/Conteos!$D87</f>
        <v>0.435390511431215</v>
      </c>
      <c r="F87" s="7" t="n">
        <f aca="false">Conteos!G87/Conteos!$D87</f>
        <v>0.222646736770564</v>
      </c>
      <c r="G87" s="7" t="n">
        <f aca="false">Conteos!H87/Conteos!$D87</f>
        <v>0.0436882893768053</v>
      </c>
      <c r="H87" s="7" t="n">
        <f aca="false">Conteos!I87/Conteos!$D87</f>
        <v>0.0288692442749533</v>
      </c>
      <c r="I87" s="7" t="n">
        <f aca="false">Conteos!J87/Conteos!$D87</f>
        <v>0.0656563272857709</v>
      </c>
      <c r="J87" s="7" t="n">
        <f aca="false">Conteos!K87/Conteos!$D87</f>
        <v>0.0222413109554645</v>
      </c>
      <c r="K87" s="7" t="n">
        <f aca="false">Conteos!L87/Conteos!$D87</f>
        <v>0.00125922709509336</v>
      </c>
      <c r="L87" s="7" t="n">
        <f aca="false">Conteos!M87/Conteos!$D87</f>
        <v>0.000164247012403481</v>
      </c>
      <c r="M87" s="7" t="n">
        <f aca="false">SUM(H87:L87)</f>
        <v>0.118190356623686</v>
      </c>
      <c r="N87" s="7" t="n">
        <f aca="false">SUM(I87:L87)</f>
        <v>0.0893211123487323</v>
      </c>
      <c r="O87" s="7" t="n">
        <f aca="false">SUM(G87:L87)</f>
        <v>0.161878646000491</v>
      </c>
      <c r="P87" s="7" t="n">
        <f aca="false">Conteos!N87/Conteos!D87</f>
        <v>0.547157299552569</v>
      </c>
    </row>
    <row r="88" customFormat="false" ht="15" hidden="false" customHeight="false" outlineLevel="0" collapsed="false">
      <c r="A88" s="4" t="str">
        <f aca="false">Conteos!A88</f>
        <v>J2o</v>
      </c>
      <c r="B88" s="4" t="str">
        <f aca="false">Conteos!B88</f>
        <v>Offsuit</v>
      </c>
      <c r="C88" s="6" t="n">
        <f aca="false">Conteos!C88</f>
        <v>12</v>
      </c>
      <c r="D88" s="7" t="n">
        <f aca="false">Conteos!E88/Conteos!$D88</f>
        <v>0.197181370235421</v>
      </c>
      <c r="E88" s="7" t="n">
        <f aca="false">Conteos!F88/Conteos!$D88</f>
        <v>0.459982253771074</v>
      </c>
      <c r="F88" s="7" t="n">
        <f aca="false">Conteos!G88/Conteos!$D88</f>
        <v>0.227864411259416</v>
      </c>
      <c r="G88" s="7" t="n">
        <f aca="false">Conteos!H88/Conteos!$D88</f>
        <v>0.0445449225018407</v>
      </c>
      <c r="H88" s="7" t="n">
        <f aca="false">Conteos!I88/Conteos!$D88</f>
        <v>0.0272083671581491</v>
      </c>
      <c r="I88" s="7" t="n">
        <f aca="false">Conteos!J88/Conteos!$D88</f>
        <v>0.0195746568747758</v>
      </c>
      <c r="J88" s="7" t="n">
        <f aca="false">Conteos!K88/Conteos!$D88</f>
        <v>0.0222413109554645</v>
      </c>
      <c r="K88" s="7" t="n">
        <f aca="false">Conteos!L88/Conteos!$D88</f>
        <v>0.00125922709509336</v>
      </c>
      <c r="L88" s="7" t="n">
        <f aca="false">Conteos!M88/Conteos!$D88</f>
        <v>0.00014348014876626</v>
      </c>
      <c r="M88" s="7" t="n">
        <f aca="false">SUM(H88:L88)</f>
        <v>0.0704270422322491</v>
      </c>
      <c r="N88" s="7" t="n">
        <f aca="false">SUM(I88:L88)</f>
        <v>0.0432186750740999</v>
      </c>
      <c r="O88" s="7" t="n">
        <f aca="false">SUM(G88:L88)</f>
        <v>0.11497196473409</v>
      </c>
      <c r="P88" s="7" t="n">
        <f aca="false">Conteos!N88/Conteos!D88</f>
        <v>0.509863316279333</v>
      </c>
    </row>
    <row r="89" customFormat="false" ht="15" hidden="false" customHeight="false" outlineLevel="0" collapsed="false">
      <c r="A89" s="4" t="str">
        <f aca="false">Conteos!A89</f>
        <v>J2s</v>
      </c>
      <c r="B89" s="4" t="str">
        <f aca="false">Conteos!B89</f>
        <v>Suited</v>
      </c>
      <c r="C89" s="6" t="n">
        <f aca="false">Conteos!C89</f>
        <v>4</v>
      </c>
      <c r="D89" s="7" t="n">
        <f aca="false">Conteos!E89/Conteos!$D89</f>
        <v>0.182243387641828</v>
      </c>
      <c r="E89" s="7" t="n">
        <f aca="false">Conteos!F89/Conteos!$D89</f>
        <v>0.43673846967094</v>
      </c>
      <c r="F89" s="7" t="n">
        <f aca="false">Conteos!G89/Conteos!$D89</f>
        <v>0.222646736770564</v>
      </c>
      <c r="G89" s="7" t="n">
        <f aca="false">Conteos!H89/Conteos!$D89</f>
        <v>0.0436882893768053</v>
      </c>
      <c r="H89" s="7" t="n">
        <f aca="false">Conteos!I89/Conteos!$D89</f>
        <v>0.0253620041911307</v>
      </c>
      <c r="I89" s="7" t="n">
        <f aca="false">Conteos!J89/Conteos!$D89</f>
        <v>0.0656770941494081</v>
      </c>
      <c r="J89" s="7" t="n">
        <f aca="false">Conteos!K89/Conteos!$D89</f>
        <v>0.0222413109554645</v>
      </c>
      <c r="K89" s="7" t="n">
        <f aca="false">Conteos!L89/Conteos!$D89</f>
        <v>0.00125922709509336</v>
      </c>
      <c r="L89" s="7" t="n">
        <f aca="false">Conteos!M89/Conteos!$D89</f>
        <v>0.00014348014876626</v>
      </c>
      <c r="M89" s="7" t="n">
        <f aca="false">SUM(H89:L89)</f>
        <v>0.114683116539863</v>
      </c>
      <c r="N89" s="7" t="n">
        <f aca="false">SUM(I89:L89)</f>
        <v>0.0893211123487323</v>
      </c>
      <c r="O89" s="7" t="n">
        <f aca="false">SUM(G89:L89)</f>
        <v>0.158371405916668</v>
      </c>
      <c r="P89" s="7" t="n">
        <f aca="false">Conteos!N89/Conteos!D89</f>
        <v>0.544243331004927</v>
      </c>
    </row>
    <row r="90" customFormat="false" ht="15" hidden="false" customHeight="false" outlineLevel="0" collapsed="false">
      <c r="A90" s="4" t="str">
        <f aca="false">Conteos!A90</f>
        <v>TT</v>
      </c>
      <c r="B90" s="4" t="str">
        <f aca="false">Conteos!B90</f>
        <v>Pareja</v>
      </c>
      <c r="C90" s="6" t="n">
        <f aca="false">Conteos!C90</f>
        <v>6</v>
      </c>
      <c r="D90" s="7" t="n">
        <f aca="false">Conteos!E90/Conteos!$D90</f>
        <v>0</v>
      </c>
      <c r="E90" s="7" t="n">
        <f aca="false">Conteos!F90/Conteos!$D90</f>
        <v>0.351375332741792</v>
      </c>
      <c r="F90" s="7" t="n">
        <f aca="false">Conteos!G90/Conteos!$D90</f>
        <v>0.394532651173328</v>
      </c>
      <c r="G90" s="7" t="n">
        <f aca="false">Conteos!H90/Conteos!$D90</f>
        <v>0.117021276595745</v>
      </c>
      <c r="H90" s="7" t="n">
        <f aca="false">Conteos!I90/Conteos!$D90</f>
        <v>0.0234523966848534</v>
      </c>
      <c r="I90" s="7" t="n">
        <f aca="false">Conteos!J90/Conteos!$D90</f>
        <v>0.0194915894202269</v>
      </c>
      <c r="J90" s="7" t="n">
        <f aca="false">Conteos!K90/Conteos!$D90</f>
        <v>0.0854764107308048</v>
      </c>
      <c r="K90" s="7" t="n">
        <f aca="false">Conteos!L90/Conteos!$D90</f>
        <v>0.00842379504993487</v>
      </c>
      <c r="L90" s="7" t="n">
        <f aca="false">Conteos!M90/Conteos!$D90</f>
        <v>0.000226547603315147</v>
      </c>
      <c r="M90" s="7" t="n">
        <f aca="false">SUM(H90:L90)</f>
        <v>0.137070739489135</v>
      </c>
      <c r="N90" s="7" t="n">
        <f aca="false">SUM(I90:L90)</f>
        <v>0.113618342804282</v>
      </c>
      <c r="O90" s="7" t="n">
        <f aca="false">SUM(G90:L90)</f>
        <v>0.25409201608488</v>
      </c>
      <c r="P90" s="7" t="n">
        <f aca="false">Conteos!N90/Conteos!D90</f>
        <v>0.947928033378014</v>
      </c>
    </row>
    <row r="91" customFormat="false" ht="15" hidden="false" customHeight="false" outlineLevel="0" collapsed="false">
      <c r="A91" s="4" t="str">
        <f aca="false">Conteos!A91</f>
        <v>T9o</v>
      </c>
      <c r="B91" s="4" t="str">
        <f aca="false">Conteos!B91</f>
        <v>Offsuit</v>
      </c>
      <c r="C91" s="6" t="n">
        <f aca="false">Conteos!C91</f>
        <v>12</v>
      </c>
      <c r="D91" s="7" t="n">
        <f aca="false">Conteos!E91/Conteos!$D91</f>
        <v>0.171949630916196</v>
      </c>
      <c r="E91" s="7" t="n">
        <f aca="false">Conteos!F91/Conteos!$D91</f>
        <v>0.427329192546584</v>
      </c>
      <c r="F91" s="7" t="n">
        <f aca="false">Conteos!G91/Conteos!$D91</f>
        <v>0.222748211217882</v>
      </c>
      <c r="G91" s="7" t="n">
        <f aca="false">Conteos!H91/Conteos!$D91</f>
        <v>0.0434650455927052</v>
      </c>
      <c r="H91" s="7" t="n">
        <f aca="false">Conteos!I91/Conteos!$D91</f>
        <v>0.0912892446525326</v>
      </c>
      <c r="I91" s="7" t="n">
        <f aca="false">Conteos!J91/Conteos!$D91</f>
        <v>0.0194920613944005</v>
      </c>
      <c r="J91" s="7" t="n">
        <f aca="false">Conteos!K91/Conteos!$D91</f>
        <v>0.0222413109554645</v>
      </c>
      <c r="K91" s="7" t="n">
        <f aca="false">Conteos!L91/Conteos!$D91</f>
        <v>0.00125922709509336</v>
      </c>
      <c r="L91" s="7" t="n">
        <f aca="false">Conteos!M91/Conteos!$D91</f>
        <v>0.000226075629141573</v>
      </c>
      <c r="M91" s="7" t="n">
        <f aca="false">SUM(H91:L91)</f>
        <v>0.134507919726633</v>
      </c>
      <c r="N91" s="7" t="n">
        <f aca="false">SUM(I91:L91)</f>
        <v>0.0432186750740999</v>
      </c>
      <c r="O91" s="7" t="n">
        <f aca="false">SUM(G91:L91)</f>
        <v>0.177972965319338</v>
      </c>
      <c r="P91" s="7" t="n">
        <f aca="false">Conteos!N91/Conteos!D91</f>
        <v>0.553039041703638</v>
      </c>
    </row>
    <row r="92" customFormat="false" ht="15" hidden="false" customHeight="false" outlineLevel="0" collapsed="false">
      <c r="A92" s="4" t="str">
        <f aca="false">Conteos!A92</f>
        <v>T9s</v>
      </c>
      <c r="B92" s="4" t="str">
        <f aca="false">Conteos!B92</f>
        <v>Suited</v>
      </c>
      <c r="C92" s="6" t="n">
        <f aca="false">Conteos!C92</f>
        <v>4</v>
      </c>
      <c r="D92" s="7" t="n">
        <f aca="false">Conteos!E92/Conteos!$D92</f>
        <v>0.158923143725575</v>
      </c>
      <c r="E92" s="7" t="n">
        <f aca="false">Conteos!F92/Conteos!$D92</f>
        <v>0.405735430157262</v>
      </c>
      <c r="F92" s="7" t="n">
        <f aca="false">Conteos!G92/Conteos!$D92</f>
        <v>0.217657025807548</v>
      </c>
      <c r="G92" s="7" t="n">
        <f aca="false">Conteos!H92/Conteos!$D92</f>
        <v>0.042629179331307</v>
      </c>
      <c r="H92" s="7" t="n">
        <f aca="false">Conteos!I92/Conteos!$D92</f>
        <v>0.0857341086295758</v>
      </c>
      <c r="I92" s="7" t="n">
        <f aca="false">Conteos!J92/Conteos!$D92</f>
        <v>0.063829315259869</v>
      </c>
      <c r="J92" s="7" t="n">
        <f aca="false">Conteos!K92/Conteos!$D92</f>
        <v>0.0222413109554645</v>
      </c>
      <c r="K92" s="7" t="n">
        <f aca="false">Conteos!L92/Conteos!$D92</f>
        <v>0.00125922709509336</v>
      </c>
      <c r="L92" s="7" t="n">
        <f aca="false">Conteos!M92/Conteos!$D92</f>
        <v>0.00199125903830542</v>
      </c>
      <c r="M92" s="7" t="n">
        <f aca="false">SUM(H92:L92)</f>
        <v>0.175055220978308</v>
      </c>
      <c r="N92" s="7" t="n">
        <f aca="false">SUM(I92:L92)</f>
        <v>0.0893211123487323</v>
      </c>
      <c r="O92" s="7" t="n">
        <f aca="false">SUM(G92:L92)</f>
        <v>0.217684400309615</v>
      </c>
      <c r="P92" s="7" t="n">
        <f aca="false">Conteos!N92/Conteos!D92</f>
        <v>0.584245974060299</v>
      </c>
    </row>
    <row r="93" customFormat="false" ht="15" hidden="false" customHeight="false" outlineLevel="0" collapsed="false">
      <c r="A93" s="4" t="str">
        <f aca="false">Conteos!A93</f>
        <v>T8o</v>
      </c>
      <c r="B93" s="4" t="str">
        <f aca="false">Conteos!B93</f>
        <v>Offsuit</v>
      </c>
      <c r="C93" s="6" t="n">
        <f aca="false">Conteos!C93</f>
        <v>12</v>
      </c>
      <c r="D93" s="7" t="n">
        <f aca="false">Conteos!E93/Conteos!$D93</f>
        <v>0.176622175234571</v>
      </c>
      <c r="E93" s="7" t="n">
        <f aca="false">Conteos!F93/Conteos!$D93</f>
        <v>0.434427684117125</v>
      </c>
      <c r="F93" s="7" t="n">
        <f aca="false">Conteos!G93/Conteos!$D93</f>
        <v>0.224027261228266</v>
      </c>
      <c r="G93" s="7" t="n">
        <f aca="false">Conteos!H93/Conteos!$D93</f>
        <v>0.0437350148199891</v>
      </c>
      <c r="H93" s="7" t="n">
        <f aca="false">Conteos!I93/Conteos!$D93</f>
        <v>0.0779691895259491</v>
      </c>
      <c r="I93" s="7" t="n">
        <f aca="false">Conteos!J93/Conteos!$D93</f>
        <v>0.0194920613944005</v>
      </c>
      <c r="J93" s="7" t="n">
        <f aca="false">Conteos!K93/Conteos!$D93</f>
        <v>0.0222413109554645</v>
      </c>
      <c r="K93" s="7" t="n">
        <f aca="false">Conteos!L93/Conteos!$D93</f>
        <v>0.00125922709509336</v>
      </c>
      <c r="L93" s="7" t="n">
        <f aca="false">Conteos!M93/Conteos!$D93</f>
        <v>0.000226075629141573</v>
      </c>
      <c r="M93" s="7" t="n">
        <f aca="false">SUM(H93:L93)</f>
        <v>0.121187864600049</v>
      </c>
      <c r="N93" s="7" t="n">
        <f aca="false">SUM(I93:L93)</f>
        <v>0.0432186750740999</v>
      </c>
      <c r="O93" s="7" t="n">
        <f aca="false">SUM(G93:L93)</f>
        <v>0.164922879420038</v>
      </c>
      <c r="P93" s="7" t="n">
        <f aca="false">Conteos!N93/Conteos!D93</f>
        <v>0.544533123147501</v>
      </c>
    </row>
    <row r="94" customFormat="false" ht="15" hidden="false" customHeight="false" outlineLevel="0" collapsed="false">
      <c r="A94" s="4" t="str">
        <f aca="false">Conteos!A94</f>
        <v>T8s</v>
      </c>
      <c r="B94" s="4" t="str">
        <f aca="false">Conteos!B94</f>
        <v>Suited</v>
      </c>
      <c r="C94" s="6" t="n">
        <f aca="false">Conteos!C94</f>
        <v>4</v>
      </c>
      <c r="D94" s="7" t="n">
        <f aca="false">Conteos!E94/Conteos!$D94</f>
        <v>0.16324170741377</v>
      </c>
      <c r="E94" s="7" t="n">
        <f aca="false">Conteos!F94/Conteos!$D94</f>
        <v>0.412475221355887</v>
      </c>
      <c r="F94" s="7" t="n">
        <f aca="false">Conteos!G94/Conteos!$D94</f>
        <v>0.218904453548302</v>
      </c>
      <c r="G94" s="7" t="n">
        <f aca="false">Conteos!H94/Conteos!$D94</f>
        <v>0.0428939568426816</v>
      </c>
      <c r="H94" s="7" t="n">
        <f aca="false">Conteos!I94/Conteos!$D94</f>
        <v>0.0731635484906266</v>
      </c>
      <c r="I94" s="7" t="n">
        <f aca="false">Conteos!J94/Conteos!$D94</f>
        <v>0.0642758028280693</v>
      </c>
      <c r="J94" s="7" t="n">
        <f aca="false">Conteos!K94/Conteos!$D94</f>
        <v>0.0222413109554645</v>
      </c>
      <c r="K94" s="7" t="n">
        <f aca="false">Conteos!L94/Conteos!$D94</f>
        <v>0.00125922709509336</v>
      </c>
      <c r="L94" s="7" t="n">
        <f aca="false">Conteos!M94/Conteos!$D94</f>
        <v>0.00154477147010516</v>
      </c>
      <c r="M94" s="7" t="n">
        <f aca="false">SUM(H94:L94)</f>
        <v>0.162484660839359</v>
      </c>
      <c r="N94" s="7" t="n">
        <f aca="false">SUM(I94:L94)</f>
        <v>0.0893211123487323</v>
      </c>
      <c r="O94" s="7" t="n">
        <f aca="false">SUM(G94:L94)</f>
        <v>0.20537861768204</v>
      </c>
      <c r="P94" s="7" t="n">
        <f aca="false">Conteos!N94/Conteos!D94</f>
        <v>0.576345126394684</v>
      </c>
    </row>
    <row r="95" customFormat="false" ht="15" hidden="false" customHeight="false" outlineLevel="0" collapsed="false">
      <c r="A95" s="4" t="str">
        <f aca="false">Conteos!A95</f>
        <v>T7o</v>
      </c>
      <c r="B95" s="4" t="str">
        <f aca="false">Conteos!B95</f>
        <v>Offsuit</v>
      </c>
      <c r="C95" s="6" t="n">
        <f aca="false">Conteos!C95</f>
        <v>12</v>
      </c>
      <c r="D95" s="7" t="n">
        <f aca="false">Conteos!E95/Conteos!$D95</f>
        <v>0.181294719552946</v>
      </c>
      <c r="E95" s="7" t="n">
        <f aca="false">Conteos!F95/Conteos!$D95</f>
        <v>0.441526175687666</v>
      </c>
      <c r="F95" s="7" t="n">
        <f aca="false">Conteos!G95/Conteos!$D95</f>
        <v>0.225306311238649</v>
      </c>
      <c r="G95" s="7" t="n">
        <f aca="false">Conteos!H95/Conteos!$D95</f>
        <v>0.0440049840472729</v>
      </c>
      <c r="H95" s="7" t="n">
        <f aca="false">Conteos!I95/Conteos!$D95</f>
        <v>0.0646491343993657</v>
      </c>
      <c r="I95" s="7" t="n">
        <f aca="false">Conteos!J95/Conteos!$D95</f>
        <v>0.0194920613944005</v>
      </c>
      <c r="J95" s="7" t="n">
        <f aca="false">Conteos!K95/Conteos!$D95</f>
        <v>0.0222413109554645</v>
      </c>
      <c r="K95" s="7" t="n">
        <f aca="false">Conteos!L95/Conteos!$D95</f>
        <v>0.00125922709509336</v>
      </c>
      <c r="L95" s="7" t="n">
        <f aca="false">Conteos!M95/Conteos!$D95</f>
        <v>0.000226075629141573</v>
      </c>
      <c r="M95" s="7" t="n">
        <f aca="false">SUM(H95:L95)</f>
        <v>0.107867809473466</v>
      </c>
      <c r="N95" s="7" t="n">
        <f aca="false">SUM(I95:L95)</f>
        <v>0.0432186750740999</v>
      </c>
      <c r="O95" s="7" t="n">
        <f aca="false">SUM(G95:L95)</f>
        <v>0.151872793520739</v>
      </c>
      <c r="P95" s="7" t="n">
        <f aca="false">Conteos!N95/Conteos!D95</f>
        <v>0.536027204591365</v>
      </c>
    </row>
    <row r="96" customFormat="false" ht="15" hidden="false" customHeight="false" outlineLevel="0" collapsed="false">
      <c r="A96" s="4" t="str">
        <f aca="false">Conteos!A96</f>
        <v>T7s</v>
      </c>
      <c r="B96" s="4" t="str">
        <f aca="false">Conteos!B96</f>
        <v>Suited</v>
      </c>
      <c r="C96" s="6" t="n">
        <f aca="false">Conteos!C96</f>
        <v>4</v>
      </c>
      <c r="D96" s="7" t="n">
        <f aca="false">Conteos!E96/Conteos!$D96</f>
        <v>0.167560271101965</v>
      </c>
      <c r="E96" s="7" t="n">
        <f aca="false">Conteos!F96/Conteos!$D96</f>
        <v>0.419215012554513</v>
      </c>
      <c r="F96" s="7" t="n">
        <f aca="false">Conteos!G96/Conteos!$D96</f>
        <v>0.220151881289056</v>
      </c>
      <c r="G96" s="7" t="n">
        <f aca="false">Conteos!H96/Conteos!$D96</f>
        <v>0.0431587343540561</v>
      </c>
      <c r="H96" s="7" t="n">
        <f aca="false">Conteos!I96/Conteos!$D96</f>
        <v>0.0605929883516774</v>
      </c>
      <c r="I96" s="7" t="n">
        <f aca="false">Conteos!J96/Conteos!$D96</f>
        <v>0.0647222903962695</v>
      </c>
      <c r="J96" s="7" t="n">
        <f aca="false">Conteos!K96/Conteos!$D96</f>
        <v>0.0222413109554645</v>
      </c>
      <c r="K96" s="7" t="n">
        <f aca="false">Conteos!L96/Conteos!$D96</f>
        <v>0.00125922709509336</v>
      </c>
      <c r="L96" s="7" t="n">
        <f aca="false">Conteos!M96/Conteos!$D96</f>
        <v>0.00109828390190489</v>
      </c>
      <c r="M96" s="7" t="n">
        <f aca="false">SUM(H96:L96)</f>
        <v>0.14991410070041</v>
      </c>
      <c r="N96" s="7" t="n">
        <f aca="false">SUM(I96:L96)</f>
        <v>0.0893211123487323</v>
      </c>
      <c r="O96" s="7" t="n">
        <f aca="false">SUM(G96:L96)</f>
        <v>0.193072835054466</v>
      </c>
      <c r="P96" s="7" t="n">
        <f aca="false">Conteos!N96/Conteos!D96</f>
        <v>0.568444278729068</v>
      </c>
    </row>
    <row r="97" customFormat="false" ht="15" hidden="false" customHeight="false" outlineLevel="0" collapsed="false">
      <c r="A97" s="4" t="str">
        <f aca="false">Conteos!A97</f>
        <v>T6o</v>
      </c>
      <c r="B97" s="4" t="str">
        <f aca="false">Conteos!B97</f>
        <v>Offsuit</v>
      </c>
      <c r="C97" s="6" t="n">
        <f aca="false">Conteos!C97</f>
        <v>12</v>
      </c>
      <c r="D97" s="7" t="n">
        <f aca="false">Conteos!E97/Conteos!$D97</f>
        <v>0.185967263871321</v>
      </c>
      <c r="E97" s="7" t="n">
        <f aca="false">Conteos!F97/Conteos!$D97</f>
        <v>0.448624667258208</v>
      </c>
      <c r="F97" s="7" t="n">
        <f aca="false">Conteos!G97/Conteos!$D97</f>
        <v>0.226585361249032</v>
      </c>
      <c r="G97" s="7" t="n">
        <f aca="false">Conteos!H97/Conteos!$D97</f>
        <v>0.0442749532745568</v>
      </c>
      <c r="H97" s="7" t="n">
        <f aca="false">Conteos!I97/Conteos!$D97</f>
        <v>0.0513290792727822</v>
      </c>
      <c r="I97" s="7" t="n">
        <f aca="false">Conteos!J97/Conteos!$D97</f>
        <v>0.0194920613944005</v>
      </c>
      <c r="J97" s="7" t="n">
        <f aca="false">Conteos!K97/Conteos!$D97</f>
        <v>0.0222413109554645</v>
      </c>
      <c r="K97" s="7" t="n">
        <f aca="false">Conteos!L97/Conteos!$D97</f>
        <v>0.00125922709509336</v>
      </c>
      <c r="L97" s="7" t="n">
        <f aca="false">Conteos!M97/Conteos!$D97</f>
        <v>0.000226075629141573</v>
      </c>
      <c r="M97" s="7" t="n">
        <f aca="false">SUM(H97:L97)</f>
        <v>0.0945477543468822</v>
      </c>
      <c r="N97" s="7" t="n">
        <f aca="false">SUM(I97:L97)</f>
        <v>0.0432186750740999</v>
      </c>
      <c r="O97" s="7" t="n">
        <f aca="false">SUM(G97:L97)</f>
        <v>0.138822707621439</v>
      </c>
      <c r="P97" s="7" t="n">
        <f aca="false">Conteos!N97/Conteos!D97</f>
        <v>0.527521286035228</v>
      </c>
    </row>
    <row r="98" customFormat="false" ht="15" hidden="false" customHeight="false" outlineLevel="0" collapsed="false">
      <c r="A98" s="4" t="str">
        <f aca="false">Conteos!A98</f>
        <v>T6s</v>
      </c>
      <c r="B98" s="4" t="str">
        <f aca="false">Conteos!B98</f>
        <v>Suited</v>
      </c>
      <c r="C98" s="6" t="n">
        <f aca="false">Conteos!C98</f>
        <v>4</v>
      </c>
      <c r="D98" s="7" t="n">
        <f aca="false">Conteos!E98/Conteos!$D98</f>
        <v>0.17187883479016</v>
      </c>
      <c r="E98" s="7" t="n">
        <f aca="false">Conteos!F98/Conteos!$D98</f>
        <v>0.425954803753139</v>
      </c>
      <c r="F98" s="7" t="n">
        <f aca="false">Conteos!G98/Conteos!$D98</f>
        <v>0.22139930902981</v>
      </c>
      <c r="G98" s="7" t="n">
        <f aca="false">Conteos!H98/Conteos!$D98</f>
        <v>0.0434235118654307</v>
      </c>
      <c r="H98" s="7" t="n">
        <f aca="false">Conteos!I98/Conteos!$D98</f>
        <v>0.0480224282127282</v>
      </c>
      <c r="I98" s="7" t="n">
        <f aca="false">Conteos!J98/Conteos!$D98</f>
        <v>0.0651687779644698</v>
      </c>
      <c r="J98" s="7" t="n">
        <f aca="false">Conteos!K98/Conteos!$D98</f>
        <v>0.0222413109554645</v>
      </c>
      <c r="K98" s="7" t="n">
        <f aca="false">Conteos!L98/Conteos!$D98</f>
        <v>0.00125922709509336</v>
      </c>
      <c r="L98" s="7" t="n">
        <f aca="false">Conteos!M98/Conteos!$D98</f>
        <v>0.00065179633370462</v>
      </c>
      <c r="M98" s="7" t="n">
        <f aca="false">SUM(H98:L98)</f>
        <v>0.13734354056146</v>
      </c>
      <c r="N98" s="7" t="n">
        <f aca="false">SUM(I98:L98)</f>
        <v>0.0893211123487323</v>
      </c>
      <c r="O98" s="7" t="n">
        <f aca="false">SUM(G98:L98)</f>
        <v>0.180767052426891</v>
      </c>
      <c r="P98" s="7" t="n">
        <f aca="false">Conteos!N98/Conteos!D98</f>
        <v>0.560543431063452</v>
      </c>
    </row>
    <row r="99" customFormat="false" ht="15" hidden="false" customHeight="false" outlineLevel="0" collapsed="false">
      <c r="A99" s="4" t="str">
        <f aca="false">Conteos!A99</f>
        <v>T5o</v>
      </c>
      <c r="B99" s="4" t="str">
        <f aca="false">Conteos!B99</f>
        <v>Offsuit</v>
      </c>
      <c r="C99" s="6" t="n">
        <f aca="false">Conteos!C99</f>
        <v>12</v>
      </c>
      <c r="D99" s="7" t="n">
        <f aca="false">Conteos!E99/Conteos!$D99</f>
        <v>0.190172553757858</v>
      </c>
      <c r="E99" s="7" t="n">
        <f aca="false">Conteos!F99/Conteos!$D99</f>
        <v>0.455723158828749</v>
      </c>
      <c r="F99" s="7" t="n">
        <f aca="false">Conteos!G99/Conteos!$D99</f>
        <v>0.227864411259416</v>
      </c>
      <c r="G99" s="7" t="n">
        <f aca="false">Conteos!H99/Conteos!$D99</f>
        <v>0.0445449225018407</v>
      </c>
      <c r="H99" s="7" t="n">
        <f aca="false">Conteos!I99/Conteos!$D99</f>
        <v>0.0384762785780362</v>
      </c>
      <c r="I99" s="7" t="n">
        <f aca="false">Conteos!J99/Conteos!$D99</f>
        <v>0.0194915894202269</v>
      </c>
      <c r="J99" s="7" t="n">
        <f aca="false">Conteos!K99/Conteos!$D99</f>
        <v>0.0222413109554645</v>
      </c>
      <c r="K99" s="7" t="n">
        <f aca="false">Conteos!L99/Conteos!$D99</f>
        <v>0.00125922709509336</v>
      </c>
      <c r="L99" s="7" t="n">
        <f aca="false">Conteos!M99/Conteos!$D99</f>
        <v>0.000226547603315147</v>
      </c>
      <c r="M99" s="7" t="n">
        <f aca="false">SUM(H99:L99)</f>
        <v>0.0816949536521362</v>
      </c>
      <c r="N99" s="7" t="n">
        <f aca="false">SUM(I99:L99)</f>
        <v>0.0432186750740999</v>
      </c>
      <c r="O99" s="7" t="n">
        <f aca="false">SUM(G99:L99)</f>
        <v>0.126239876153977</v>
      </c>
      <c r="P99" s="7" t="n">
        <f aca="false">Conteos!N99/Conteos!D99</f>
        <v>0.519483093885103</v>
      </c>
    </row>
    <row r="100" customFormat="false" ht="15" hidden="false" customHeight="false" outlineLevel="0" collapsed="false">
      <c r="A100" s="4" t="str">
        <f aca="false">Conteos!A100</f>
        <v>T5s</v>
      </c>
      <c r="B100" s="4" t="str">
        <f aca="false">Conteos!B100</f>
        <v>Suited</v>
      </c>
      <c r="C100" s="6" t="n">
        <f aca="false">Conteos!C100</f>
        <v>4</v>
      </c>
      <c r="D100" s="7" t="n">
        <f aca="false">Conteos!E100/Conteos!$D100</f>
        <v>0.175765542109536</v>
      </c>
      <c r="E100" s="7" t="n">
        <f aca="false">Conteos!F100/Conteos!$D100</f>
        <v>0.432694594951764</v>
      </c>
      <c r="F100" s="7" t="n">
        <f aca="false">Conteos!G100/Conteos!$D100</f>
        <v>0.222646736770564</v>
      </c>
      <c r="G100" s="7" t="n">
        <f aca="false">Conteos!H100/Conteos!$D100</f>
        <v>0.0436882893768053</v>
      </c>
      <c r="H100" s="7" t="n">
        <f aca="false">Conteos!I100/Conteos!$D100</f>
        <v>0.0358837244425985</v>
      </c>
      <c r="I100" s="7" t="n">
        <f aca="false">Conteos!J100/Conteos!$D100</f>
        <v>0.0656147935584965</v>
      </c>
      <c r="J100" s="7" t="n">
        <f aca="false">Conteos!K100/Conteos!$D100</f>
        <v>0.0222413109554645</v>
      </c>
      <c r="K100" s="7" t="n">
        <f aca="false">Conteos!L100/Conteos!$D100</f>
        <v>0.00125922709509336</v>
      </c>
      <c r="L100" s="7" t="n">
        <f aca="false">Conteos!M100/Conteos!$D100</f>
        <v>0.000205780739677925</v>
      </c>
      <c r="M100" s="7" t="n">
        <f aca="false">SUM(H100:L100)</f>
        <v>0.125204836791331</v>
      </c>
      <c r="N100" s="7" t="n">
        <f aca="false">SUM(I100:L100)</f>
        <v>0.0893211123487323</v>
      </c>
      <c r="O100" s="7" t="n">
        <f aca="false">SUM(G100:L100)</f>
        <v>0.168893126168136</v>
      </c>
      <c r="P100" s="7" t="n">
        <f aca="false">Conteos!N100/Conteos!D100</f>
        <v>0.55307491174083</v>
      </c>
    </row>
    <row r="101" customFormat="false" ht="15" hidden="false" customHeight="false" outlineLevel="0" collapsed="false">
      <c r="A101" s="4" t="str">
        <f aca="false">Conteos!A101</f>
        <v>T4o</v>
      </c>
      <c r="B101" s="4" t="str">
        <f aca="false">Conteos!B101</f>
        <v>Offsuit</v>
      </c>
      <c r="C101" s="6" t="n">
        <f aca="false">Conteos!C101</f>
        <v>12</v>
      </c>
      <c r="D101" s="7" t="n">
        <f aca="false">Conteos!E101/Conteos!$D101</f>
        <v>0.190172553757858</v>
      </c>
      <c r="E101" s="7" t="n">
        <f aca="false">Conteos!F101/Conteos!$D101</f>
        <v>0.455723158828749</v>
      </c>
      <c r="F101" s="7" t="n">
        <f aca="false">Conteos!G101/Conteos!$D101</f>
        <v>0.227864411259416</v>
      </c>
      <c r="G101" s="7" t="n">
        <f aca="false">Conteos!H101/Conteos!$D101</f>
        <v>0.0445449225018407</v>
      </c>
      <c r="H101" s="7" t="n">
        <f aca="false">Conteos!I101/Conteos!$D101</f>
        <v>0.0384762785780362</v>
      </c>
      <c r="I101" s="7" t="n">
        <f aca="false">Conteos!J101/Conteos!$D101</f>
        <v>0.0195123562838641</v>
      </c>
      <c r="J101" s="7" t="n">
        <f aca="false">Conteos!K101/Conteos!$D101</f>
        <v>0.0222413109554645</v>
      </c>
      <c r="K101" s="7" t="n">
        <f aca="false">Conteos!L101/Conteos!$D101</f>
        <v>0.00125922709509336</v>
      </c>
      <c r="L101" s="7" t="n">
        <f aca="false">Conteos!M101/Conteos!$D101</f>
        <v>0.000205780739677925</v>
      </c>
      <c r="M101" s="7" t="n">
        <f aca="false">SUM(H101:L101)</f>
        <v>0.0816949536521362</v>
      </c>
      <c r="N101" s="7" t="n">
        <f aca="false">SUM(I101:L101)</f>
        <v>0.0432186750740999</v>
      </c>
      <c r="O101" s="7" t="n">
        <f aca="false">SUM(G101:L101)</f>
        <v>0.126239876153977</v>
      </c>
      <c r="P101" s="7" t="n">
        <f aca="false">Conteos!N101/Conteos!D101</f>
        <v>0.519365572315883</v>
      </c>
    </row>
    <row r="102" customFormat="false" ht="15" hidden="false" customHeight="false" outlineLevel="0" collapsed="false">
      <c r="A102" s="4" t="str">
        <f aca="false">Conteos!A102</f>
        <v>T4s</v>
      </c>
      <c r="B102" s="4" t="str">
        <f aca="false">Conteos!B102</f>
        <v>Suited</v>
      </c>
      <c r="C102" s="6" t="n">
        <f aca="false">Conteos!C102</f>
        <v>4</v>
      </c>
      <c r="D102" s="7" t="n">
        <f aca="false">Conteos!E102/Conteos!$D102</f>
        <v>0.175765542109536</v>
      </c>
      <c r="E102" s="7" t="n">
        <f aca="false">Conteos!F102/Conteos!$D102</f>
        <v>0.432694594951764</v>
      </c>
      <c r="F102" s="7" t="n">
        <f aca="false">Conteos!G102/Conteos!$D102</f>
        <v>0.222646736770564</v>
      </c>
      <c r="G102" s="7" t="n">
        <f aca="false">Conteos!H102/Conteos!$D102</f>
        <v>0.0436882893768053</v>
      </c>
      <c r="H102" s="7" t="n">
        <f aca="false">Conteos!I102/Conteos!$D102</f>
        <v>0.0358837244425985</v>
      </c>
      <c r="I102" s="7" t="n">
        <f aca="false">Conteos!J102/Conteos!$D102</f>
        <v>0.0656147935584965</v>
      </c>
      <c r="J102" s="7" t="n">
        <f aca="false">Conteos!K102/Conteos!$D102</f>
        <v>0.0222413109554645</v>
      </c>
      <c r="K102" s="7" t="n">
        <f aca="false">Conteos!L102/Conteos!$D102</f>
        <v>0.00125922709509336</v>
      </c>
      <c r="L102" s="7" t="n">
        <f aca="false">Conteos!M102/Conteos!$D102</f>
        <v>0.000205780739677925</v>
      </c>
      <c r="M102" s="7" t="n">
        <f aca="false">SUM(H102:L102)</f>
        <v>0.125204836791331</v>
      </c>
      <c r="N102" s="7" t="n">
        <f aca="false">SUM(I102:L102)</f>
        <v>0.0893211123487323</v>
      </c>
      <c r="O102" s="7" t="n">
        <f aca="false">SUM(G102:L102)</f>
        <v>0.168893126168136</v>
      </c>
      <c r="P102" s="7" t="n">
        <f aca="false">Conteos!N102/Conteos!D102</f>
        <v>0.552985236647851</v>
      </c>
    </row>
    <row r="103" customFormat="false" ht="15" hidden="false" customHeight="false" outlineLevel="0" collapsed="false">
      <c r="A103" s="4" t="str">
        <f aca="false">Conteos!A103</f>
        <v>T3o</v>
      </c>
      <c r="B103" s="4" t="str">
        <f aca="false">Conteos!B103</f>
        <v>Offsuit</v>
      </c>
      <c r="C103" s="6" t="n">
        <f aca="false">Conteos!C103</f>
        <v>12</v>
      </c>
      <c r="D103" s="7" t="n">
        <f aca="false">Conteos!E103/Conteos!$D103</f>
        <v>0.192508825917046</v>
      </c>
      <c r="E103" s="7" t="n">
        <f aca="false">Conteos!F103/Conteos!$D103</f>
        <v>0.457142857142857</v>
      </c>
      <c r="F103" s="7" t="n">
        <f aca="false">Conteos!G103/Conteos!$D103</f>
        <v>0.227864411259416</v>
      </c>
      <c r="G103" s="7" t="n">
        <f aca="false">Conteos!H103/Conteos!$D103</f>
        <v>0.0445449225018407</v>
      </c>
      <c r="H103" s="7" t="n">
        <f aca="false">Conteos!I103/Conteos!$D103</f>
        <v>0.0347203081047405</v>
      </c>
      <c r="I103" s="7" t="n">
        <f aca="false">Conteos!J103/Conteos!$D103</f>
        <v>0.0195331231475014</v>
      </c>
      <c r="J103" s="7" t="n">
        <f aca="false">Conteos!K103/Conteos!$D103</f>
        <v>0.0222413109554645</v>
      </c>
      <c r="K103" s="7" t="n">
        <f aca="false">Conteos!L103/Conteos!$D103</f>
        <v>0.00125922709509336</v>
      </c>
      <c r="L103" s="7" t="n">
        <f aca="false">Conteos!M103/Conteos!$D103</f>
        <v>0.000185013876040703</v>
      </c>
      <c r="M103" s="7" t="n">
        <f aca="false">SUM(H103:L103)</f>
        <v>0.0779389831788405</v>
      </c>
      <c r="N103" s="7" t="n">
        <f aca="false">SUM(I103:L103)</f>
        <v>0.0432186750740999</v>
      </c>
      <c r="O103" s="7" t="n">
        <f aca="false">SUM(G103:L103)</f>
        <v>0.122483905680681</v>
      </c>
      <c r="P103" s="7" t="n">
        <f aca="false">Conteos!N103/Conteos!D103</f>
        <v>0.516198153637033</v>
      </c>
    </row>
    <row r="104" customFormat="false" ht="15" hidden="false" customHeight="false" outlineLevel="0" collapsed="false">
      <c r="A104" s="4" t="str">
        <f aca="false">Conteos!A104</f>
        <v>T3s</v>
      </c>
      <c r="B104" s="4" t="str">
        <f aca="false">Conteos!B104</f>
        <v>Suited</v>
      </c>
      <c r="C104" s="6" t="n">
        <f aca="false">Conteos!C104</f>
        <v>4</v>
      </c>
      <c r="D104" s="7" t="n">
        <f aca="false">Conteos!E104/Conteos!$D104</f>
        <v>0.177924823953633</v>
      </c>
      <c r="E104" s="7" t="n">
        <f aca="false">Conteos!F104/Conteos!$D104</f>
        <v>0.434042553191489</v>
      </c>
      <c r="F104" s="7" t="n">
        <f aca="false">Conteos!G104/Conteos!$D104</f>
        <v>0.222646736770564</v>
      </c>
      <c r="G104" s="7" t="n">
        <f aca="false">Conteos!H104/Conteos!$D104</f>
        <v>0.0436882893768053</v>
      </c>
      <c r="H104" s="7" t="n">
        <f aca="false">Conteos!I104/Conteos!$D104</f>
        <v>0.0323764843587759</v>
      </c>
      <c r="I104" s="7" t="n">
        <f aca="false">Conteos!J104/Conteos!$D104</f>
        <v>0.0656355604221337</v>
      </c>
      <c r="J104" s="7" t="n">
        <f aca="false">Conteos!K104/Conteos!$D104</f>
        <v>0.0222413109554645</v>
      </c>
      <c r="K104" s="7" t="n">
        <f aca="false">Conteos!L104/Conteos!$D104</f>
        <v>0.00125922709509336</v>
      </c>
      <c r="L104" s="7" t="n">
        <f aca="false">Conteos!M104/Conteos!$D104</f>
        <v>0.000185013876040703</v>
      </c>
      <c r="M104" s="7" t="n">
        <f aca="false">SUM(H104:L104)</f>
        <v>0.121697596707508</v>
      </c>
      <c r="N104" s="7" t="n">
        <f aca="false">SUM(I104:L104)</f>
        <v>0.0893211123487323</v>
      </c>
      <c r="O104" s="7" t="n">
        <f aca="false">SUM(G104:L104)</f>
        <v>0.165385886084313</v>
      </c>
      <c r="P104" s="7" t="n">
        <f aca="false">Conteos!N104/Conteos!D104</f>
        <v>0.55007126810021</v>
      </c>
    </row>
    <row r="105" customFormat="false" ht="15" hidden="false" customHeight="false" outlineLevel="0" collapsed="false">
      <c r="A105" s="4" t="str">
        <f aca="false">Conteos!A105</f>
        <v>T2o</v>
      </c>
      <c r="B105" s="4" t="str">
        <f aca="false">Conteos!B105</f>
        <v>Offsuit</v>
      </c>
      <c r="C105" s="6" t="n">
        <f aca="false">Conteos!C105</f>
        <v>12</v>
      </c>
      <c r="D105" s="7" t="n">
        <f aca="false">Conteos!E105/Conteos!$D105</f>
        <v>0.194845098076233</v>
      </c>
      <c r="E105" s="7" t="n">
        <f aca="false">Conteos!F105/Conteos!$D105</f>
        <v>0.458562555456965</v>
      </c>
      <c r="F105" s="7" t="n">
        <f aca="false">Conteos!G105/Conteos!$D105</f>
        <v>0.227864411259416</v>
      </c>
      <c r="G105" s="7" t="n">
        <f aca="false">Conteos!H105/Conteos!$D105</f>
        <v>0.0445449225018407</v>
      </c>
      <c r="H105" s="7" t="n">
        <f aca="false">Conteos!I105/Conteos!$D105</f>
        <v>0.0309643376314448</v>
      </c>
      <c r="I105" s="7" t="n">
        <f aca="false">Conteos!J105/Conteos!$D105</f>
        <v>0.0195538900111386</v>
      </c>
      <c r="J105" s="7" t="n">
        <f aca="false">Conteos!K105/Conteos!$D105</f>
        <v>0.0222413109554645</v>
      </c>
      <c r="K105" s="7" t="n">
        <f aca="false">Conteos!L105/Conteos!$D105</f>
        <v>0.00125922709509336</v>
      </c>
      <c r="L105" s="7" t="n">
        <f aca="false">Conteos!M105/Conteos!$D105</f>
        <v>0.000164247012403481</v>
      </c>
      <c r="M105" s="7" t="n">
        <f aca="false">SUM(H105:L105)</f>
        <v>0.0741830127055448</v>
      </c>
      <c r="N105" s="7" t="n">
        <f aca="false">SUM(I105:L105)</f>
        <v>0.0432186750740999</v>
      </c>
      <c r="O105" s="7" t="n">
        <f aca="false">SUM(G105:L105)</f>
        <v>0.118727935207385</v>
      </c>
      <c r="P105" s="7" t="n">
        <f aca="false">Conteos!N105/Conteos!D105</f>
        <v>0.513030734958183</v>
      </c>
    </row>
    <row r="106" customFormat="false" ht="15" hidden="false" customHeight="false" outlineLevel="0" collapsed="false">
      <c r="A106" s="4" t="str">
        <f aca="false">Conteos!A106</f>
        <v>T2s</v>
      </c>
      <c r="B106" s="4" t="str">
        <f aca="false">Conteos!B106</f>
        <v>Suited</v>
      </c>
      <c r="C106" s="6" t="n">
        <f aca="false">Conteos!C106</f>
        <v>4</v>
      </c>
      <c r="D106" s="7" t="n">
        <f aca="false">Conteos!E106/Conteos!$D106</f>
        <v>0.180084105797731</v>
      </c>
      <c r="E106" s="7" t="n">
        <f aca="false">Conteos!F106/Conteos!$D106</f>
        <v>0.435390511431215</v>
      </c>
      <c r="F106" s="7" t="n">
        <f aca="false">Conteos!G106/Conteos!$D106</f>
        <v>0.222646736770564</v>
      </c>
      <c r="G106" s="7" t="n">
        <f aca="false">Conteos!H106/Conteos!$D106</f>
        <v>0.0436882893768053</v>
      </c>
      <c r="H106" s="7" t="n">
        <f aca="false">Conteos!I106/Conteos!$D106</f>
        <v>0.0288692442749533</v>
      </c>
      <c r="I106" s="7" t="n">
        <f aca="false">Conteos!J106/Conteos!$D106</f>
        <v>0.0656563272857709</v>
      </c>
      <c r="J106" s="7" t="n">
        <f aca="false">Conteos!K106/Conteos!$D106</f>
        <v>0.0222413109554645</v>
      </c>
      <c r="K106" s="7" t="n">
        <f aca="false">Conteos!L106/Conteos!$D106</f>
        <v>0.00125922709509336</v>
      </c>
      <c r="L106" s="7" t="n">
        <f aca="false">Conteos!M106/Conteos!$D106</f>
        <v>0.000164247012403481</v>
      </c>
      <c r="M106" s="7" t="n">
        <f aca="false">SUM(H106:L106)</f>
        <v>0.118190356623686</v>
      </c>
      <c r="N106" s="7" t="n">
        <f aca="false">SUM(I106:L106)</f>
        <v>0.0893211123487323</v>
      </c>
      <c r="O106" s="7" t="n">
        <f aca="false">SUM(G106:L106)</f>
        <v>0.161878646000491</v>
      </c>
      <c r="P106" s="7" t="n">
        <f aca="false">Conteos!N106/Conteos!D106</f>
        <v>0.547157299552569</v>
      </c>
    </row>
    <row r="107" customFormat="false" ht="15" hidden="false" customHeight="false" outlineLevel="0" collapsed="false">
      <c r="A107" s="4" t="str">
        <f aca="false">Conteos!A107</f>
        <v>99</v>
      </c>
      <c r="B107" s="4" t="str">
        <f aca="false">Conteos!B107</f>
        <v>Pareja</v>
      </c>
      <c r="C107" s="6" t="n">
        <f aca="false">Conteos!C107</f>
        <v>6</v>
      </c>
      <c r="D107" s="7" t="n">
        <f aca="false">Conteos!E107/Conteos!$D107</f>
        <v>0</v>
      </c>
      <c r="E107" s="7" t="n">
        <f aca="false">Conteos!F107/Conteos!$D107</f>
        <v>0.35184258717363</v>
      </c>
      <c r="F107" s="7" t="n">
        <f aca="false">Conteos!G107/Conteos!$D107</f>
        <v>0.394532651173328</v>
      </c>
      <c r="G107" s="7" t="n">
        <f aca="false">Conteos!H107/Conteos!$D107</f>
        <v>0.117021276595745</v>
      </c>
      <c r="H107" s="7" t="n">
        <f aca="false">Conteos!I107/Conteos!$D107</f>
        <v>0.0229851422530159</v>
      </c>
      <c r="I107" s="7" t="n">
        <f aca="false">Conteos!J107/Conteos!$D107</f>
        <v>0.0194925333685741</v>
      </c>
      <c r="J107" s="7" t="n">
        <f aca="false">Conteos!K107/Conteos!$D107</f>
        <v>0.0854764107308048</v>
      </c>
      <c r="K107" s="7" t="n">
        <f aca="false">Conteos!L107/Conteos!$D107</f>
        <v>0.00842379504993487</v>
      </c>
      <c r="L107" s="7" t="n">
        <f aca="false">Conteos!M107/Conteos!$D107</f>
        <v>0.000225603654968</v>
      </c>
      <c r="M107" s="7" t="n">
        <f aca="false">SUM(H107:L107)</f>
        <v>0.136603485057298</v>
      </c>
      <c r="N107" s="7" t="n">
        <f aca="false">SUM(I107:L107)</f>
        <v>0.113618342804282</v>
      </c>
      <c r="O107" s="7" t="n">
        <f aca="false">SUM(G107:L107)</f>
        <v>0.253624761653042</v>
      </c>
      <c r="P107" s="7" t="n">
        <f aca="false">Conteos!N107/Conteos!D107</f>
        <v>0.947927089429666</v>
      </c>
    </row>
    <row r="108" customFormat="false" ht="15" hidden="false" customHeight="false" outlineLevel="0" collapsed="false">
      <c r="A108" s="4" t="str">
        <f aca="false">Conteos!A108</f>
        <v>98o</v>
      </c>
      <c r="B108" s="4" t="str">
        <f aca="false">Conteos!B108</f>
        <v>Offsuit</v>
      </c>
      <c r="C108" s="6" t="n">
        <f aca="false">Conteos!C108</f>
        <v>12</v>
      </c>
      <c r="D108" s="7" t="n">
        <f aca="false">Conteos!E108/Conteos!$D108</f>
        <v>0.172416885348034</v>
      </c>
      <c r="E108" s="7" t="n">
        <f aca="false">Conteos!F108/Conteos!$D108</f>
        <v>0.427329192546584</v>
      </c>
      <c r="F108" s="7" t="n">
        <f aca="false">Conteos!G108/Conteos!$D108</f>
        <v>0.222748211217882</v>
      </c>
      <c r="G108" s="7" t="n">
        <f aca="false">Conteos!H108/Conteos!$D108</f>
        <v>0.0434650455927052</v>
      </c>
      <c r="H108" s="7" t="n">
        <f aca="false">Conteos!I108/Conteos!$D108</f>
        <v>0.0908219902206951</v>
      </c>
      <c r="I108" s="7" t="n">
        <f aca="false">Conteos!J108/Conteos!$D108</f>
        <v>0.0194925333685741</v>
      </c>
      <c r="J108" s="7" t="n">
        <f aca="false">Conteos!K108/Conteos!$D108</f>
        <v>0.0222413109554645</v>
      </c>
      <c r="K108" s="7" t="n">
        <f aca="false">Conteos!L108/Conteos!$D108</f>
        <v>0.00125922709509336</v>
      </c>
      <c r="L108" s="7" t="n">
        <f aca="false">Conteos!M108/Conteos!$D108</f>
        <v>0.000225603654968</v>
      </c>
      <c r="M108" s="7" t="n">
        <f aca="false">SUM(H108:L108)</f>
        <v>0.134040665294795</v>
      </c>
      <c r="N108" s="7" t="n">
        <f aca="false">SUM(I108:L108)</f>
        <v>0.0432186750740999</v>
      </c>
      <c r="O108" s="7" t="n">
        <f aca="false">SUM(G108:L108)</f>
        <v>0.1775057108875</v>
      </c>
      <c r="P108" s="7" t="n">
        <f aca="false">Conteos!N108/Conteos!D108</f>
        <v>0.552571315297627</v>
      </c>
    </row>
    <row r="109" customFormat="false" ht="15" hidden="false" customHeight="false" outlineLevel="0" collapsed="false">
      <c r="A109" s="4" t="str">
        <f aca="false">Conteos!A109</f>
        <v>98s</v>
      </c>
      <c r="B109" s="4" t="str">
        <f aca="false">Conteos!B109</f>
        <v>Suited</v>
      </c>
      <c r="C109" s="6" t="n">
        <f aca="false">Conteos!C109</f>
        <v>4</v>
      </c>
      <c r="D109" s="7" t="n">
        <f aca="false">Conteos!E109/Conteos!$D109</f>
        <v>0.159355000094395</v>
      </c>
      <c r="E109" s="7" t="n">
        <f aca="false">Conteos!F109/Conteos!$D109</f>
        <v>0.405735430157262</v>
      </c>
      <c r="F109" s="7" t="n">
        <f aca="false">Conteos!G109/Conteos!$D109</f>
        <v>0.217657025807548</v>
      </c>
      <c r="G109" s="7" t="n">
        <f aca="false">Conteos!H109/Conteos!$D109</f>
        <v>0.042629179331307</v>
      </c>
      <c r="H109" s="7" t="n">
        <f aca="false">Conteos!I109/Conteos!$D109</f>
        <v>0.0853022522607563</v>
      </c>
      <c r="I109" s="7" t="n">
        <f aca="false">Conteos!J109/Conteos!$D109</f>
        <v>0.0638297872340426</v>
      </c>
      <c r="J109" s="7" t="n">
        <f aca="false">Conteos!K109/Conteos!$D109</f>
        <v>0.0222413109554645</v>
      </c>
      <c r="K109" s="7" t="n">
        <f aca="false">Conteos!L109/Conteos!$D109</f>
        <v>0.00125922709509336</v>
      </c>
      <c r="L109" s="7" t="n">
        <f aca="false">Conteos!M109/Conteos!$D109</f>
        <v>0.00199078706413185</v>
      </c>
      <c r="M109" s="7" t="n">
        <f aca="false">SUM(H109:L109)</f>
        <v>0.174623364609489</v>
      </c>
      <c r="N109" s="7" t="n">
        <f aca="false">SUM(I109:L109)</f>
        <v>0.0893211123487323</v>
      </c>
      <c r="O109" s="7" t="n">
        <f aca="false">SUM(G109:L109)</f>
        <v>0.217252543940796</v>
      </c>
      <c r="P109" s="7" t="n">
        <f aca="false">Conteos!N109/Conteos!D109</f>
        <v>0.583813645717306</v>
      </c>
    </row>
    <row r="110" customFormat="false" ht="15" hidden="false" customHeight="false" outlineLevel="0" collapsed="false">
      <c r="A110" s="4" t="str">
        <f aca="false">Conteos!A110</f>
        <v>97o</v>
      </c>
      <c r="B110" s="4" t="str">
        <f aca="false">Conteos!B110</f>
        <v>Offsuit</v>
      </c>
      <c r="C110" s="6" t="n">
        <f aca="false">Conteos!C110</f>
        <v>12</v>
      </c>
      <c r="D110" s="7" t="n">
        <f aca="false">Conteos!E110/Conteos!$D110</f>
        <v>0.177089429666409</v>
      </c>
      <c r="E110" s="7" t="n">
        <f aca="false">Conteos!F110/Conteos!$D110</f>
        <v>0.434427684117125</v>
      </c>
      <c r="F110" s="7" t="n">
        <f aca="false">Conteos!G110/Conteos!$D110</f>
        <v>0.224027261228266</v>
      </c>
      <c r="G110" s="7" t="n">
        <f aca="false">Conteos!H110/Conteos!$D110</f>
        <v>0.0437350148199891</v>
      </c>
      <c r="H110" s="7" t="n">
        <f aca="false">Conteos!I110/Conteos!$D110</f>
        <v>0.0775019350941117</v>
      </c>
      <c r="I110" s="7" t="n">
        <f aca="false">Conteos!J110/Conteos!$D110</f>
        <v>0.0194925333685741</v>
      </c>
      <c r="J110" s="7" t="n">
        <f aca="false">Conteos!K110/Conteos!$D110</f>
        <v>0.0222413109554645</v>
      </c>
      <c r="K110" s="7" t="n">
        <f aca="false">Conteos!L110/Conteos!$D110</f>
        <v>0.00125922709509336</v>
      </c>
      <c r="L110" s="7" t="n">
        <f aca="false">Conteos!M110/Conteos!$D110</f>
        <v>0.000225603654968</v>
      </c>
      <c r="M110" s="7" t="n">
        <f aca="false">SUM(H110:L110)</f>
        <v>0.120720610168212</v>
      </c>
      <c r="N110" s="7" t="n">
        <f aca="false">SUM(I110:L110)</f>
        <v>0.0432186750740999</v>
      </c>
      <c r="O110" s="7" t="n">
        <f aca="false">SUM(G110:L110)</f>
        <v>0.164455624988201</v>
      </c>
      <c r="P110" s="7" t="n">
        <f aca="false">Conteos!N110/Conteos!D110</f>
        <v>0.54406539674149</v>
      </c>
    </row>
    <row r="111" customFormat="false" ht="15" hidden="false" customHeight="false" outlineLevel="0" collapsed="false">
      <c r="A111" s="4" t="str">
        <f aca="false">Conteos!A111</f>
        <v>97s</v>
      </c>
      <c r="B111" s="4" t="str">
        <f aca="false">Conteos!B111</f>
        <v>Suited</v>
      </c>
      <c r="C111" s="6" t="n">
        <f aca="false">Conteos!C111</f>
        <v>4</v>
      </c>
      <c r="D111" s="7" t="n">
        <f aca="false">Conteos!E111/Conteos!$D111</f>
        <v>0.16367356378259</v>
      </c>
      <c r="E111" s="7" t="n">
        <f aca="false">Conteos!F111/Conteos!$D111</f>
        <v>0.412475221355887</v>
      </c>
      <c r="F111" s="7" t="n">
        <f aca="false">Conteos!G111/Conteos!$D111</f>
        <v>0.218904453548302</v>
      </c>
      <c r="G111" s="7" t="n">
        <f aca="false">Conteos!H111/Conteos!$D111</f>
        <v>0.0428939568426816</v>
      </c>
      <c r="H111" s="7" t="n">
        <f aca="false">Conteos!I111/Conteos!$D111</f>
        <v>0.0727316921218071</v>
      </c>
      <c r="I111" s="7" t="n">
        <f aca="false">Conteos!J111/Conteos!$D111</f>
        <v>0.0642762748022428</v>
      </c>
      <c r="J111" s="7" t="n">
        <f aca="false">Conteos!K111/Conteos!$D111</f>
        <v>0.0222413109554645</v>
      </c>
      <c r="K111" s="7" t="n">
        <f aca="false">Conteos!L111/Conteos!$D111</f>
        <v>0.00125922709509336</v>
      </c>
      <c r="L111" s="7" t="n">
        <f aca="false">Conteos!M111/Conteos!$D111</f>
        <v>0.00154429949593158</v>
      </c>
      <c r="M111" s="7" t="n">
        <f aca="false">SUM(H111:L111)</f>
        <v>0.162052804470539</v>
      </c>
      <c r="N111" s="7" t="n">
        <f aca="false">SUM(I111:L111)</f>
        <v>0.0893211123487323</v>
      </c>
      <c r="O111" s="7" t="n">
        <f aca="false">SUM(G111:L111)</f>
        <v>0.204946761313221</v>
      </c>
      <c r="P111" s="7" t="n">
        <f aca="false">Conteos!N111/Conteos!D111</f>
        <v>0.575912798051691</v>
      </c>
    </row>
    <row r="112" customFormat="false" ht="15" hidden="false" customHeight="false" outlineLevel="0" collapsed="false">
      <c r="A112" s="4" t="str">
        <f aca="false">Conteos!A112</f>
        <v>96o</v>
      </c>
      <c r="B112" s="4" t="str">
        <f aca="false">Conteos!B112</f>
        <v>Offsuit</v>
      </c>
      <c r="C112" s="6" t="n">
        <f aca="false">Conteos!C112</f>
        <v>12</v>
      </c>
      <c r="D112" s="7" t="n">
        <f aca="false">Conteos!E112/Conteos!$D112</f>
        <v>0.181761973984784</v>
      </c>
      <c r="E112" s="7" t="n">
        <f aca="false">Conteos!F112/Conteos!$D112</f>
        <v>0.441526175687666</v>
      </c>
      <c r="F112" s="7" t="n">
        <f aca="false">Conteos!G112/Conteos!$D112</f>
        <v>0.225306311238649</v>
      </c>
      <c r="G112" s="7" t="n">
        <f aca="false">Conteos!H112/Conteos!$D112</f>
        <v>0.0440049840472729</v>
      </c>
      <c r="H112" s="7" t="n">
        <f aca="false">Conteos!I112/Conteos!$D112</f>
        <v>0.0641818799675282</v>
      </c>
      <c r="I112" s="7" t="n">
        <f aca="false">Conteos!J112/Conteos!$D112</f>
        <v>0.0194925333685741</v>
      </c>
      <c r="J112" s="7" t="n">
        <f aca="false">Conteos!K112/Conteos!$D112</f>
        <v>0.0222413109554645</v>
      </c>
      <c r="K112" s="7" t="n">
        <f aca="false">Conteos!L112/Conteos!$D112</f>
        <v>0.00125922709509336</v>
      </c>
      <c r="L112" s="7" t="n">
        <f aca="false">Conteos!M112/Conteos!$D112</f>
        <v>0.000225603654968</v>
      </c>
      <c r="M112" s="7" t="n">
        <f aca="false">SUM(H112:L112)</f>
        <v>0.107400555041628</v>
      </c>
      <c r="N112" s="7" t="n">
        <f aca="false">SUM(I112:L112)</f>
        <v>0.0432186750740999</v>
      </c>
      <c r="O112" s="7" t="n">
        <f aca="false">SUM(G112:L112)</f>
        <v>0.151405539088901</v>
      </c>
      <c r="P112" s="7" t="n">
        <f aca="false">Conteos!N112/Conteos!D112</f>
        <v>0.535559478185354</v>
      </c>
    </row>
    <row r="113" customFormat="false" ht="15" hidden="false" customHeight="false" outlineLevel="0" collapsed="false">
      <c r="A113" s="4" t="str">
        <f aca="false">Conteos!A113</f>
        <v>96s</v>
      </c>
      <c r="B113" s="4" t="str">
        <f aca="false">Conteos!B113</f>
        <v>Suited</v>
      </c>
      <c r="C113" s="6" t="n">
        <f aca="false">Conteos!C113</f>
        <v>4</v>
      </c>
      <c r="D113" s="7" t="n">
        <f aca="false">Conteos!E113/Conteos!$D113</f>
        <v>0.167992127470785</v>
      </c>
      <c r="E113" s="7" t="n">
        <f aca="false">Conteos!F113/Conteos!$D113</f>
        <v>0.419215012554513</v>
      </c>
      <c r="F113" s="7" t="n">
        <f aca="false">Conteos!G113/Conteos!$D113</f>
        <v>0.220151881289056</v>
      </c>
      <c r="G113" s="7" t="n">
        <f aca="false">Conteos!H113/Conteos!$D113</f>
        <v>0.0431587343540561</v>
      </c>
      <c r="H113" s="7" t="n">
        <f aca="false">Conteos!I113/Conteos!$D113</f>
        <v>0.0601611319828579</v>
      </c>
      <c r="I113" s="7" t="n">
        <f aca="false">Conteos!J113/Conteos!$D113</f>
        <v>0.0647227623704431</v>
      </c>
      <c r="J113" s="7" t="n">
        <f aca="false">Conteos!K113/Conteos!$D113</f>
        <v>0.0222413109554645</v>
      </c>
      <c r="K113" s="7" t="n">
        <f aca="false">Conteos!L113/Conteos!$D113</f>
        <v>0.00125922709509336</v>
      </c>
      <c r="L113" s="7" t="n">
        <f aca="false">Conteos!M113/Conteos!$D113</f>
        <v>0.00109781192773131</v>
      </c>
      <c r="M113" s="7" t="n">
        <f aca="false">SUM(H113:L113)</f>
        <v>0.14948224433159</v>
      </c>
      <c r="N113" s="7" t="n">
        <f aca="false">SUM(I113:L113)</f>
        <v>0.0893211123487323</v>
      </c>
      <c r="O113" s="7" t="n">
        <f aca="false">SUM(G113:L113)</f>
        <v>0.192640978685646</v>
      </c>
      <c r="P113" s="7" t="n">
        <f aca="false">Conteos!N113/Conteos!D113</f>
        <v>0.568011950386075</v>
      </c>
    </row>
    <row r="114" customFormat="false" ht="15" hidden="false" customHeight="false" outlineLevel="0" collapsed="false">
      <c r="A114" s="4" t="str">
        <f aca="false">Conteos!A114</f>
        <v>95o</v>
      </c>
      <c r="B114" s="4" t="str">
        <f aca="false">Conteos!B114</f>
        <v>Offsuit</v>
      </c>
      <c r="C114" s="6" t="n">
        <f aca="false">Conteos!C114</f>
        <v>12</v>
      </c>
      <c r="D114" s="7" t="n">
        <f aca="false">Conteos!E114/Conteos!$D114</f>
        <v>0.185967263871321</v>
      </c>
      <c r="E114" s="7" t="n">
        <f aca="false">Conteos!F114/Conteos!$D114</f>
        <v>0.448624667258208</v>
      </c>
      <c r="F114" s="7" t="n">
        <f aca="false">Conteos!G114/Conteos!$D114</f>
        <v>0.226585361249032</v>
      </c>
      <c r="G114" s="7" t="n">
        <f aca="false">Conteos!H114/Conteos!$D114</f>
        <v>0.0442749532745568</v>
      </c>
      <c r="H114" s="7" t="n">
        <f aca="false">Conteos!I114/Conteos!$D114</f>
        <v>0.0513290792727822</v>
      </c>
      <c r="I114" s="7" t="n">
        <f aca="false">Conteos!J114/Conteos!$D114</f>
        <v>0.0194920613944005</v>
      </c>
      <c r="J114" s="7" t="n">
        <f aca="false">Conteos!K114/Conteos!$D114</f>
        <v>0.0222413109554645</v>
      </c>
      <c r="K114" s="7" t="n">
        <f aca="false">Conteos!L114/Conteos!$D114</f>
        <v>0.00125922709509336</v>
      </c>
      <c r="L114" s="7" t="n">
        <f aca="false">Conteos!M114/Conteos!$D114</f>
        <v>0.000226075629141573</v>
      </c>
      <c r="M114" s="7" t="n">
        <f aca="false">SUM(H114:L114)</f>
        <v>0.0945477543468822</v>
      </c>
      <c r="N114" s="7" t="n">
        <f aca="false">SUM(I114:L114)</f>
        <v>0.0432186750740999</v>
      </c>
      <c r="O114" s="7" t="n">
        <f aca="false">SUM(G114:L114)</f>
        <v>0.138822707621439</v>
      </c>
      <c r="P114" s="7" t="n">
        <f aca="false">Conteos!N114/Conteos!D114</f>
        <v>0.527521286035228</v>
      </c>
    </row>
    <row r="115" customFormat="false" ht="15" hidden="false" customHeight="false" outlineLevel="0" collapsed="false">
      <c r="A115" s="4" t="str">
        <f aca="false">Conteos!A115</f>
        <v>95s</v>
      </c>
      <c r="B115" s="4" t="str">
        <f aca="false">Conteos!B115</f>
        <v>Suited</v>
      </c>
      <c r="C115" s="6" t="n">
        <f aca="false">Conteos!C115</f>
        <v>4</v>
      </c>
      <c r="D115" s="7" t="n">
        <f aca="false">Conteos!E115/Conteos!$D115</f>
        <v>0.17187883479016</v>
      </c>
      <c r="E115" s="7" t="n">
        <f aca="false">Conteos!F115/Conteos!$D115</f>
        <v>0.425954803753139</v>
      </c>
      <c r="F115" s="7" t="n">
        <f aca="false">Conteos!G115/Conteos!$D115</f>
        <v>0.22139930902981</v>
      </c>
      <c r="G115" s="7" t="n">
        <f aca="false">Conteos!H115/Conteos!$D115</f>
        <v>0.0434235118654307</v>
      </c>
      <c r="H115" s="7" t="n">
        <f aca="false">Conteos!I115/Conteos!$D115</f>
        <v>0.0480224282127282</v>
      </c>
      <c r="I115" s="7" t="n">
        <f aca="false">Conteos!J115/Conteos!$D115</f>
        <v>0.0651687779644698</v>
      </c>
      <c r="J115" s="7" t="n">
        <f aca="false">Conteos!K115/Conteos!$D115</f>
        <v>0.0222413109554645</v>
      </c>
      <c r="K115" s="7" t="n">
        <f aca="false">Conteos!L115/Conteos!$D115</f>
        <v>0.00125922709509336</v>
      </c>
      <c r="L115" s="7" t="n">
        <f aca="false">Conteos!M115/Conteos!$D115</f>
        <v>0.00065179633370462</v>
      </c>
      <c r="M115" s="7" t="n">
        <f aca="false">SUM(H115:L115)</f>
        <v>0.13734354056146</v>
      </c>
      <c r="N115" s="7" t="n">
        <f aca="false">SUM(I115:L115)</f>
        <v>0.0893211123487323</v>
      </c>
      <c r="O115" s="7" t="n">
        <f aca="false">SUM(G115:L115)</f>
        <v>0.180767052426891</v>
      </c>
      <c r="P115" s="7" t="n">
        <f aca="false">Conteos!N115/Conteos!D115</f>
        <v>0.560543431063452</v>
      </c>
    </row>
    <row r="116" customFormat="false" ht="15" hidden="false" customHeight="false" outlineLevel="0" collapsed="false">
      <c r="A116" s="4" t="str">
        <f aca="false">Conteos!A116</f>
        <v>94o</v>
      </c>
      <c r="B116" s="4" t="str">
        <f aca="false">Conteos!B116</f>
        <v>Offsuit</v>
      </c>
      <c r="C116" s="6" t="n">
        <f aca="false">Conteos!C116</f>
        <v>12</v>
      </c>
      <c r="D116" s="7" t="n">
        <f aca="false">Conteos!E116/Conteos!$D116</f>
        <v>0.192976080348883</v>
      </c>
      <c r="E116" s="7" t="n">
        <f aca="false">Conteos!F116/Conteos!$D116</f>
        <v>0.457142857142857</v>
      </c>
      <c r="F116" s="7" t="n">
        <f aca="false">Conteos!G116/Conteos!$D116</f>
        <v>0.227864411259416</v>
      </c>
      <c r="G116" s="7" t="n">
        <f aca="false">Conteos!H116/Conteos!$D116</f>
        <v>0.0445449225018407</v>
      </c>
      <c r="H116" s="7" t="n">
        <f aca="false">Conteos!I116/Conteos!$D116</f>
        <v>0.034253053672903</v>
      </c>
      <c r="I116" s="7" t="n">
        <f aca="false">Conteos!J116/Conteos!$D116</f>
        <v>0.0195128282580377</v>
      </c>
      <c r="J116" s="7" t="n">
        <f aca="false">Conteos!K116/Conteos!$D116</f>
        <v>0.0222413109554645</v>
      </c>
      <c r="K116" s="7" t="n">
        <f aca="false">Conteos!L116/Conteos!$D116</f>
        <v>0.00125922709509336</v>
      </c>
      <c r="L116" s="7" t="n">
        <f aca="false">Conteos!M116/Conteos!$D116</f>
        <v>0.000205308765504352</v>
      </c>
      <c r="M116" s="7" t="n">
        <f aca="false">SUM(H116:L116)</f>
        <v>0.077471728747003</v>
      </c>
      <c r="N116" s="7" t="n">
        <f aca="false">SUM(I116:L116)</f>
        <v>0.0432186750740999</v>
      </c>
      <c r="O116" s="7" t="n">
        <f aca="false">SUM(G116:L116)</f>
        <v>0.122016651248844</v>
      </c>
      <c r="P116" s="7" t="n">
        <f aca="false">Conteos!N116/Conteos!D116</f>
        <v>0.515847948800242</v>
      </c>
    </row>
    <row r="117" customFormat="false" ht="15" hidden="false" customHeight="false" outlineLevel="0" collapsed="false">
      <c r="A117" s="4" t="str">
        <f aca="false">Conteos!A117</f>
        <v>94s</v>
      </c>
      <c r="B117" s="4" t="str">
        <f aca="false">Conteos!B117</f>
        <v>Suited</v>
      </c>
      <c r="C117" s="6" t="n">
        <f aca="false">Conteos!C117</f>
        <v>4</v>
      </c>
      <c r="D117" s="7" t="n">
        <f aca="false">Conteos!E117/Conteos!$D117</f>
        <v>0.178356680322453</v>
      </c>
      <c r="E117" s="7" t="n">
        <f aca="false">Conteos!F117/Conteos!$D117</f>
        <v>0.434042553191489</v>
      </c>
      <c r="F117" s="7" t="n">
        <f aca="false">Conteos!G117/Conteos!$D117</f>
        <v>0.222646736770564</v>
      </c>
      <c r="G117" s="7" t="n">
        <f aca="false">Conteos!H117/Conteos!$D117</f>
        <v>0.0436882893768053</v>
      </c>
      <c r="H117" s="7" t="n">
        <f aca="false">Conteos!I117/Conteos!$D117</f>
        <v>0.0319446279899564</v>
      </c>
      <c r="I117" s="7" t="n">
        <f aca="false">Conteos!J117/Conteos!$D117</f>
        <v>0.0656360323963073</v>
      </c>
      <c r="J117" s="7" t="n">
        <f aca="false">Conteos!K117/Conteos!$D117</f>
        <v>0.0222413109554645</v>
      </c>
      <c r="K117" s="7" t="n">
        <f aca="false">Conteos!L117/Conteos!$D117</f>
        <v>0.00125922709509336</v>
      </c>
      <c r="L117" s="7" t="n">
        <f aca="false">Conteos!M117/Conteos!$D117</f>
        <v>0.00018454190186713</v>
      </c>
      <c r="M117" s="7" t="n">
        <f aca="false">SUM(H117:L117)</f>
        <v>0.121265740338689</v>
      </c>
      <c r="N117" s="7" t="n">
        <f aca="false">SUM(I117:L117)</f>
        <v>0.0893211123487323</v>
      </c>
      <c r="O117" s="7" t="n">
        <f aca="false">SUM(G117:L117)</f>
        <v>0.164954029715494</v>
      </c>
      <c r="P117" s="7" t="n">
        <f aca="false">Conteos!N117/Conteos!D117</f>
        <v>0.549728614850195</v>
      </c>
    </row>
    <row r="118" customFormat="false" ht="15" hidden="false" customHeight="false" outlineLevel="0" collapsed="false">
      <c r="A118" s="4" t="str">
        <f aca="false">Conteos!A118</f>
        <v>93o</v>
      </c>
      <c r="B118" s="4" t="str">
        <f aca="false">Conteos!B118</f>
        <v>Offsuit</v>
      </c>
      <c r="C118" s="6" t="n">
        <f aca="false">Conteos!C118</f>
        <v>12</v>
      </c>
      <c r="D118" s="7" t="n">
        <f aca="false">Conteos!E118/Conteos!$D118</f>
        <v>0.192976080348883</v>
      </c>
      <c r="E118" s="7" t="n">
        <f aca="false">Conteos!F118/Conteos!$D118</f>
        <v>0.457142857142857</v>
      </c>
      <c r="F118" s="7" t="n">
        <f aca="false">Conteos!G118/Conteos!$D118</f>
        <v>0.227864411259416</v>
      </c>
      <c r="G118" s="7" t="n">
        <f aca="false">Conteos!H118/Conteos!$D118</f>
        <v>0.0445449225018407</v>
      </c>
      <c r="H118" s="7" t="n">
        <f aca="false">Conteos!I118/Conteos!$D118</f>
        <v>0.034253053672903</v>
      </c>
      <c r="I118" s="7" t="n">
        <f aca="false">Conteos!J118/Conteos!$D118</f>
        <v>0.0195335951216749</v>
      </c>
      <c r="J118" s="7" t="n">
        <f aca="false">Conteos!K118/Conteos!$D118</f>
        <v>0.0222413109554645</v>
      </c>
      <c r="K118" s="7" t="n">
        <f aca="false">Conteos!L118/Conteos!$D118</f>
        <v>0.00125922709509336</v>
      </c>
      <c r="L118" s="7" t="n">
        <f aca="false">Conteos!M118/Conteos!$D118</f>
        <v>0.00018454190186713</v>
      </c>
      <c r="M118" s="7" t="n">
        <f aca="false">SUM(H118:L118)</f>
        <v>0.077471728747003</v>
      </c>
      <c r="N118" s="7" t="n">
        <f aca="false">SUM(I118:L118)</f>
        <v>0.0432186750740999</v>
      </c>
      <c r="O118" s="7" t="n">
        <f aca="false">SUM(G118:L118)</f>
        <v>0.122016651248844</v>
      </c>
      <c r="P118" s="7" t="n">
        <f aca="false">Conteos!N118/Conteos!D118</f>
        <v>0.515730427231022</v>
      </c>
    </row>
    <row r="119" customFormat="false" ht="15" hidden="false" customHeight="false" outlineLevel="0" collapsed="false">
      <c r="A119" s="4" t="str">
        <f aca="false">Conteos!A119</f>
        <v>93s</v>
      </c>
      <c r="B119" s="4" t="str">
        <f aca="false">Conteos!B119</f>
        <v>Suited</v>
      </c>
      <c r="C119" s="6" t="n">
        <f aca="false">Conteos!C119</f>
        <v>4</v>
      </c>
      <c r="D119" s="7" t="n">
        <f aca="false">Conteos!E119/Conteos!$D119</f>
        <v>0.178356680322453</v>
      </c>
      <c r="E119" s="7" t="n">
        <f aca="false">Conteos!F119/Conteos!$D119</f>
        <v>0.434042553191489</v>
      </c>
      <c r="F119" s="7" t="n">
        <f aca="false">Conteos!G119/Conteos!$D119</f>
        <v>0.222646736770564</v>
      </c>
      <c r="G119" s="7" t="n">
        <f aca="false">Conteos!H119/Conteos!$D119</f>
        <v>0.0436882893768053</v>
      </c>
      <c r="H119" s="7" t="n">
        <f aca="false">Conteos!I119/Conteos!$D119</f>
        <v>0.0319446279899564</v>
      </c>
      <c r="I119" s="7" t="n">
        <f aca="false">Conteos!J119/Conteos!$D119</f>
        <v>0.0656360323963073</v>
      </c>
      <c r="J119" s="7" t="n">
        <f aca="false">Conteos!K119/Conteos!$D119</f>
        <v>0.0222413109554645</v>
      </c>
      <c r="K119" s="7" t="n">
        <f aca="false">Conteos!L119/Conteos!$D119</f>
        <v>0.00125922709509336</v>
      </c>
      <c r="L119" s="7" t="n">
        <f aca="false">Conteos!M119/Conteos!$D119</f>
        <v>0.00018454190186713</v>
      </c>
      <c r="M119" s="7" t="n">
        <f aca="false">SUM(H119:L119)</f>
        <v>0.121265740338689</v>
      </c>
      <c r="N119" s="7" t="n">
        <f aca="false">SUM(I119:L119)</f>
        <v>0.0893211123487323</v>
      </c>
      <c r="O119" s="7" t="n">
        <f aca="false">SUM(G119:L119)</f>
        <v>0.164954029715494</v>
      </c>
      <c r="P119" s="7" t="n">
        <f aca="false">Conteos!N119/Conteos!D119</f>
        <v>0.549638939757216</v>
      </c>
    </row>
    <row r="120" customFormat="false" ht="15" hidden="false" customHeight="false" outlineLevel="0" collapsed="false">
      <c r="A120" s="4" t="str">
        <f aca="false">Conteos!A120</f>
        <v>92o</v>
      </c>
      <c r="B120" s="4" t="str">
        <f aca="false">Conteos!B120</f>
        <v>Offsuit</v>
      </c>
      <c r="C120" s="6" t="n">
        <f aca="false">Conteos!C120</f>
        <v>12</v>
      </c>
      <c r="D120" s="7" t="n">
        <f aca="false">Conteos!E120/Conteos!$D120</f>
        <v>0.195312352508071</v>
      </c>
      <c r="E120" s="7" t="n">
        <f aca="false">Conteos!F120/Conteos!$D120</f>
        <v>0.458562555456965</v>
      </c>
      <c r="F120" s="7" t="n">
        <f aca="false">Conteos!G120/Conteos!$D120</f>
        <v>0.227864411259416</v>
      </c>
      <c r="G120" s="7" t="n">
        <f aca="false">Conteos!H120/Conteos!$D120</f>
        <v>0.0445449225018407</v>
      </c>
      <c r="H120" s="7" t="n">
        <f aca="false">Conteos!I120/Conteos!$D120</f>
        <v>0.0304970831996073</v>
      </c>
      <c r="I120" s="7" t="n">
        <f aca="false">Conteos!J120/Conteos!$D120</f>
        <v>0.0195543619853122</v>
      </c>
      <c r="J120" s="7" t="n">
        <f aca="false">Conteos!K120/Conteos!$D120</f>
        <v>0.0222413109554645</v>
      </c>
      <c r="K120" s="7" t="n">
        <f aca="false">Conteos!L120/Conteos!$D120</f>
        <v>0.00125922709509336</v>
      </c>
      <c r="L120" s="7" t="n">
        <f aca="false">Conteos!M120/Conteos!$D120</f>
        <v>0.000163775038229908</v>
      </c>
      <c r="M120" s="7" t="n">
        <f aca="false">SUM(H120:L120)</f>
        <v>0.0737157582737073</v>
      </c>
      <c r="N120" s="7" t="n">
        <f aca="false">SUM(I120:L120)</f>
        <v>0.0432186750740999</v>
      </c>
      <c r="O120" s="7" t="n">
        <f aca="false">SUM(G120:L120)</f>
        <v>0.118260680775548</v>
      </c>
      <c r="P120" s="7" t="n">
        <f aca="false">Conteos!N120/Conteos!D120</f>
        <v>0.512563008552172</v>
      </c>
    </row>
    <row r="121" customFormat="false" ht="15" hidden="false" customHeight="false" outlineLevel="0" collapsed="false">
      <c r="A121" s="4" t="str">
        <f aca="false">Conteos!A121</f>
        <v>92s</v>
      </c>
      <c r="B121" s="4" t="str">
        <f aca="false">Conteos!B121</f>
        <v>Suited</v>
      </c>
      <c r="C121" s="6" t="n">
        <f aca="false">Conteos!C121</f>
        <v>4</v>
      </c>
      <c r="D121" s="7" t="n">
        <f aca="false">Conteos!E121/Conteos!$D121</f>
        <v>0.18051596216655</v>
      </c>
      <c r="E121" s="7" t="n">
        <f aca="false">Conteos!F121/Conteos!$D121</f>
        <v>0.435390511431215</v>
      </c>
      <c r="F121" s="7" t="n">
        <f aca="false">Conteos!G121/Conteos!$D121</f>
        <v>0.222646736770564</v>
      </c>
      <c r="G121" s="7" t="n">
        <f aca="false">Conteos!H121/Conteos!$D121</f>
        <v>0.0436882893768053</v>
      </c>
      <c r="H121" s="7" t="n">
        <f aca="false">Conteos!I121/Conteos!$D121</f>
        <v>0.0284373879061338</v>
      </c>
      <c r="I121" s="7" t="n">
        <f aca="false">Conteos!J121/Conteos!$D121</f>
        <v>0.0656567992599445</v>
      </c>
      <c r="J121" s="7" t="n">
        <f aca="false">Conteos!K121/Conteos!$D121</f>
        <v>0.0222413109554645</v>
      </c>
      <c r="K121" s="7" t="n">
        <f aca="false">Conteos!L121/Conteos!$D121</f>
        <v>0.00125922709509336</v>
      </c>
      <c r="L121" s="7" t="n">
        <f aca="false">Conteos!M121/Conteos!$D121</f>
        <v>0.000163775038229908</v>
      </c>
      <c r="M121" s="7" t="n">
        <f aca="false">SUM(H121:L121)</f>
        <v>0.117758500254866</v>
      </c>
      <c r="N121" s="7" t="n">
        <f aca="false">SUM(I121:L121)</f>
        <v>0.0893211123487323</v>
      </c>
      <c r="O121" s="7" t="n">
        <f aca="false">SUM(G121:L121)</f>
        <v>0.161446789631671</v>
      </c>
      <c r="P121" s="7" t="n">
        <f aca="false">Conteos!N121/Conteos!D121</f>
        <v>0.546724971209575</v>
      </c>
    </row>
    <row r="122" customFormat="false" ht="15" hidden="false" customHeight="false" outlineLevel="0" collapsed="false">
      <c r="A122" s="4" t="str">
        <f aca="false">Conteos!A122</f>
        <v>88</v>
      </c>
      <c r="B122" s="4" t="str">
        <f aca="false">Conteos!B122</f>
        <v>Pareja</v>
      </c>
      <c r="C122" s="6" t="n">
        <f aca="false">Conteos!C122</f>
        <v>6</v>
      </c>
      <c r="D122" s="7" t="n">
        <f aca="false">Conteos!E122/Conteos!$D122</f>
        <v>0</v>
      </c>
      <c r="E122" s="7" t="n">
        <f aca="false">Conteos!F122/Conteos!$D122</f>
        <v>0.35184258717363</v>
      </c>
      <c r="F122" s="7" t="n">
        <f aca="false">Conteos!G122/Conteos!$D122</f>
        <v>0.394532651173328</v>
      </c>
      <c r="G122" s="7" t="n">
        <f aca="false">Conteos!H122/Conteos!$D122</f>
        <v>0.117021276595745</v>
      </c>
      <c r="H122" s="7" t="n">
        <f aca="false">Conteos!I122/Conteos!$D122</f>
        <v>0.0229851422530159</v>
      </c>
      <c r="I122" s="7" t="n">
        <f aca="false">Conteos!J122/Conteos!$D122</f>
        <v>0.0194925333685741</v>
      </c>
      <c r="J122" s="7" t="n">
        <f aca="false">Conteos!K122/Conteos!$D122</f>
        <v>0.0854764107308048</v>
      </c>
      <c r="K122" s="7" t="n">
        <f aca="false">Conteos!L122/Conteos!$D122</f>
        <v>0.00842379504993487</v>
      </c>
      <c r="L122" s="7" t="n">
        <f aca="false">Conteos!M122/Conteos!$D122</f>
        <v>0.000225603654968</v>
      </c>
      <c r="M122" s="7" t="n">
        <f aca="false">SUM(H122:L122)</f>
        <v>0.136603485057298</v>
      </c>
      <c r="N122" s="7" t="n">
        <f aca="false">SUM(I122:L122)</f>
        <v>0.113618342804282</v>
      </c>
      <c r="O122" s="7" t="n">
        <f aca="false">SUM(G122:L122)</f>
        <v>0.253624761653042</v>
      </c>
      <c r="P122" s="7" t="n">
        <f aca="false">Conteos!N122/Conteos!D122</f>
        <v>0.947927089429666</v>
      </c>
    </row>
    <row r="123" customFormat="false" ht="15" hidden="false" customHeight="false" outlineLevel="0" collapsed="false">
      <c r="A123" s="4" t="str">
        <f aca="false">Conteos!A123</f>
        <v>87o</v>
      </c>
      <c r="B123" s="4" t="str">
        <f aca="false">Conteos!B123</f>
        <v>Offsuit</v>
      </c>
      <c r="C123" s="6" t="n">
        <f aca="false">Conteos!C123</f>
        <v>12</v>
      </c>
      <c r="D123" s="7" t="n">
        <f aca="false">Conteos!E123/Conteos!$D123</f>
        <v>0.172416885348034</v>
      </c>
      <c r="E123" s="7" t="n">
        <f aca="false">Conteos!F123/Conteos!$D123</f>
        <v>0.427329192546584</v>
      </c>
      <c r="F123" s="7" t="n">
        <f aca="false">Conteos!G123/Conteos!$D123</f>
        <v>0.222748211217882</v>
      </c>
      <c r="G123" s="7" t="n">
        <f aca="false">Conteos!H123/Conteos!$D123</f>
        <v>0.0434650455927052</v>
      </c>
      <c r="H123" s="7" t="n">
        <f aca="false">Conteos!I123/Conteos!$D123</f>
        <v>0.0908219902206951</v>
      </c>
      <c r="I123" s="7" t="n">
        <f aca="false">Conteos!J123/Conteos!$D123</f>
        <v>0.0194925333685741</v>
      </c>
      <c r="J123" s="7" t="n">
        <f aca="false">Conteos!K123/Conteos!$D123</f>
        <v>0.0222413109554645</v>
      </c>
      <c r="K123" s="7" t="n">
        <f aca="false">Conteos!L123/Conteos!$D123</f>
        <v>0.00125922709509336</v>
      </c>
      <c r="L123" s="7" t="n">
        <f aca="false">Conteos!M123/Conteos!$D123</f>
        <v>0.000225603654968</v>
      </c>
      <c r="M123" s="7" t="n">
        <f aca="false">SUM(H123:L123)</f>
        <v>0.134040665294795</v>
      </c>
      <c r="N123" s="7" t="n">
        <f aca="false">SUM(I123:L123)</f>
        <v>0.0432186750740999</v>
      </c>
      <c r="O123" s="7" t="n">
        <f aca="false">SUM(G123:L123)</f>
        <v>0.1775057108875</v>
      </c>
      <c r="P123" s="7" t="n">
        <f aca="false">Conteos!N123/Conteos!D123</f>
        <v>0.552571315297627</v>
      </c>
    </row>
    <row r="124" customFormat="false" ht="15" hidden="false" customHeight="false" outlineLevel="0" collapsed="false">
      <c r="A124" s="4" t="str">
        <f aca="false">Conteos!A124</f>
        <v>87s</v>
      </c>
      <c r="B124" s="4" t="str">
        <f aca="false">Conteos!B124</f>
        <v>Suited</v>
      </c>
      <c r="C124" s="6" t="n">
        <f aca="false">Conteos!C124</f>
        <v>4</v>
      </c>
      <c r="D124" s="7" t="n">
        <f aca="false">Conteos!E124/Conteos!$D124</f>
        <v>0.159355000094395</v>
      </c>
      <c r="E124" s="7" t="n">
        <f aca="false">Conteos!F124/Conteos!$D124</f>
        <v>0.405735430157262</v>
      </c>
      <c r="F124" s="7" t="n">
        <f aca="false">Conteos!G124/Conteos!$D124</f>
        <v>0.217657025807548</v>
      </c>
      <c r="G124" s="7" t="n">
        <f aca="false">Conteos!H124/Conteos!$D124</f>
        <v>0.042629179331307</v>
      </c>
      <c r="H124" s="7" t="n">
        <f aca="false">Conteos!I124/Conteos!$D124</f>
        <v>0.0853022522607563</v>
      </c>
      <c r="I124" s="7" t="n">
        <f aca="false">Conteos!J124/Conteos!$D124</f>
        <v>0.0638297872340426</v>
      </c>
      <c r="J124" s="7" t="n">
        <f aca="false">Conteos!K124/Conteos!$D124</f>
        <v>0.0222413109554645</v>
      </c>
      <c r="K124" s="7" t="n">
        <f aca="false">Conteos!L124/Conteos!$D124</f>
        <v>0.00125922709509336</v>
      </c>
      <c r="L124" s="7" t="n">
        <f aca="false">Conteos!M124/Conteos!$D124</f>
        <v>0.00199078706413185</v>
      </c>
      <c r="M124" s="7" t="n">
        <f aca="false">SUM(H124:L124)</f>
        <v>0.174623364609489</v>
      </c>
      <c r="N124" s="7" t="n">
        <f aca="false">SUM(I124:L124)</f>
        <v>0.0893211123487323</v>
      </c>
      <c r="O124" s="7" t="n">
        <f aca="false">SUM(G124:L124)</f>
        <v>0.217252543940796</v>
      </c>
      <c r="P124" s="7" t="n">
        <f aca="false">Conteos!N124/Conteos!D124</f>
        <v>0.583813645717306</v>
      </c>
    </row>
    <row r="125" customFormat="false" ht="15" hidden="false" customHeight="false" outlineLevel="0" collapsed="false">
      <c r="A125" s="4" t="str">
        <f aca="false">Conteos!A125</f>
        <v>86o</v>
      </c>
      <c r="B125" s="4" t="str">
        <f aca="false">Conteos!B125</f>
        <v>Offsuit</v>
      </c>
      <c r="C125" s="6" t="n">
        <f aca="false">Conteos!C125</f>
        <v>12</v>
      </c>
      <c r="D125" s="7" t="n">
        <f aca="false">Conteos!E125/Conteos!$D125</f>
        <v>0.177089429666409</v>
      </c>
      <c r="E125" s="7" t="n">
        <f aca="false">Conteos!F125/Conteos!$D125</f>
        <v>0.434427684117125</v>
      </c>
      <c r="F125" s="7" t="n">
        <f aca="false">Conteos!G125/Conteos!$D125</f>
        <v>0.224027261228266</v>
      </c>
      <c r="G125" s="7" t="n">
        <f aca="false">Conteos!H125/Conteos!$D125</f>
        <v>0.0437350148199891</v>
      </c>
      <c r="H125" s="7" t="n">
        <f aca="false">Conteos!I125/Conteos!$D125</f>
        <v>0.0775019350941117</v>
      </c>
      <c r="I125" s="7" t="n">
        <f aca="false">Conteos!J125/Conteos!$D125</f>
        <v>0.0194925333685741</v>
      </c>
      <c r="J125" s="7" t="n">
        <f aca="false">Conteos!K125/Conteos!$D125</f>
        <v>0.0222413109554645</v>
      </c>
      <c r="K125" s="7" t="n">
        <f aca="false">Conteos!L125/Conteos!$D125</f>
        <v>0.00125922709509336</v>
      </c>
      <c r="L125" s="7" t="n">
        <f aca="false">Conteos!M125/Conteos!$D125</f>
        <v>0.000225603654968</v>
      </c>
      <c r="M125" s="7" t="n">
        <f aca="false">SUM(H125:L125)</f>
        <v>0.120720610168212</v>
      </c>
      <c r="N125" s="7" t="n">
        <f aca="false">SUM(I125:L125)</f>
        <v>0.0432186750740999</v>
      </c>
      <c r="O125" s="7" t="n">
        <f aca="false">SUM(G125:L125)</f>
        <v>0.164455624988201</v>
      </c>
      <c r="P125" s="7" t="n">
        <f aca="false">Conteos!N125/Conteos!D125</f>
        <v>0.54406539674149</v>
      </c>
    </row>
    <row r="126" customFormat="false" ht="15" hidden="false" customHeight="false" outlineLevel="0" collapsed="false">
      <c r="A126" s="4" t="str">
        <f aca="false">Conteos!A126</f>
        <v>86s</v>
      </c>
      <c r="B126" s="4" t="str">
        <f aca="false">Conteos!B126</f>
        <v>Suited</v>
      </c>
      <c r="C126" s="6" t="n">
        <f aca="false">Conteos!C126</f>
        <v>4</v>
      </c>
      <c r="D126" s="7" t="n">
        <f aca="false">Conteos!E126/Conteos!$D126</f>
        <v>0.16367356378259</v>
      </c>
      <c r="E126" s="7" t="n">
        <f aca="false">Conteos!F126/Conteos!$D126</f>
        <v>0.412475221355887</v>
      </c>
      <c r="F126" s="7" t="n">
        <f aca="false">Conteos!G126/Conteos!$D126</f>
        <v>0.218904453548302</v>
      </c>
      <c r="G126" s="7" t="n">
        <f aca="false">Conteos!H126/Conteos!$D126</f>
        <v>0.0428939568426816</v>
      </c>
      <c r="H126" s="7" t="n">
        <f aca="false">Conteos!I126/Conteos!$D126</f>
        <v>0.0727316921218071</v>
      </c>
      <c r="I126" s="7" t="n">
        <f aca="false">Conteos!J126/Conteos!$D126</f>
        <v>0.0642762748022428</v>
      </c>
      <c r="J126" s="7" t="n">
        <f aca="false">Conteos!K126/Conteos!$D126</f>
        <v>0.0222413109554645</v>
      </c>
      <c r="K126" s="7" t="n">
        <f aca="false">Conteos!L126/Conteos!$D126</f>
        <v>0.00125922709509336</v>
      </c>
      <c r="L126" s="7" t="n">
        <f aca="false">Conteos!M126/Conteos!$D126</f>
        <v>0.00154429949593158</v>
      </c>
      <c r="M126" s="7" t="n">
        <f aca="false">SUM(H126:L126)</f>
        <v>0.162052804470539</v>
      </c>
      <c r="N126" s="7" t="n">
        <f aca="false">SUM(I126:L126)</f>
        <v>0.0893211123487323</v>
      </c>
      <c r="O126" s="7" t="n">
        <f aca="false">SUM(G126:L126)</f>
        <v>0.204946761313221</v>
      </c>
      <c r="P126" s="7" t="n">
        <f aca="false">Conteos!N126/Conteos!D126</f>
        <v>0.575912798051691</v>
      </c>
    </row>
    <row r="127" customFormat="false" ht="15" hidden="false" customHeight="false" outlineLevel="0" collapsed="false">
      <c r="A127" s="4" t="str">
        <f aca="false">Conteos!A127</f>
        <v>85o</v>
      </c>
      <c r="B127" s="4" t="str">
        <f aca="false">Conteos!B127</f>
        <v>Offsuit</v>
      </c>
      <c r="C127" s="6" t="n">
        <f aca="false">Conteos!C127</f>
        <v>12</v>
      </c>
      <c r="D127" s="7" t="n">
        <f aca="false">Conteos!E127/Conteos!$D127</f>
        <v>0.181294719552946</v>
      </c>
      <c r="E127" s="7" t="n">
        <f aca="false">Conteos!F127/Conteos!$D127</f>
        <v>0.441526175687666</v>
      </c>
      <c r="F127" s="7" t="n">
        <f aca="false">Conteos!G127/Conteos!$D127</f>
        <v>0.225306311238649</v>
      </c>
      <c r="G127" s="7" t="n">
        <f aca="false">Conteos!H127/Conteos!$D127</f>
        <v>0.0440049840472729</v>
      </c>
      <c r="H127" s="7" t="n">
        <f aca="false">Conteos!I127/Conteos!$D127</f>
        <v>0.0646491343993657</v>
      </c>
      <c r="I127" s="7" t="n">
        <f aca="false">Conteos!J127/Conteos!$D127</f>
        <v>0.0194920613944005</v>
      </c>
      <c r="J127" s="7" t="n">
        <f aca="false">Conteos!K127/Conteos!$D127</f>
        <v>0.0222413109554645</v>
      </c>
      <c r="K127" s="7" t="n">
        <f aca="false">Conteos!L127/Conteos!$D127</f>
        <v>0.00125922709509336</v>
      </c>
      <c r="L127" s="7" t="n">
        <f aca="false">Conteos!M127/Conteos!$D127</f>
        <v>0.000226075629141573</v>
      </c>
      <c r="M127" s="7" t="n">
        <f aca="false">SUM(H127:L127)</f>
        <v>0.107867809473466</v>
      </c>
      <c r="N127" s="7" t="n">
        <f aca="false">SUM(I127:L127)</f>
        <v>0.0432186750740999</v>
      </c>
      <c r="O127" s="7" t="n">
        <f aca="false">SUM(G127:L127)</f>
        <v>0.151872793520739</v>
      </c>
      <c r="P127" s="7" t="n">
        <f aca="false">Conteos!N127/Conteos!D127</f>
        <v>0.536027204591365</v>
      </c>
    </row>
    <row r="128" customFormat="false" ht="15" hidden="false" customHeight="false" outlineLevel="0" collapsed="false">
      <c r="A128" s="4" t="str">
        <f aca="false">Conteos!A128</f>
        <v>85s</v>
      </c>
      <c r="B128" s="4" t="str">
        <f aca="false">Conteos!B128</f>
        <v>Suited</v>
      </c>
      <c r="C128" s="6" t="n">
        <f aca="false">Conteos!C128</f>
        <v>4</v>
      </c>
      <c r="D128" s="7" t="n">
        <f aca="false">Conteos!E128/Conteos!$D128</f>
        <v>0.167560271101965</v>
      </c>
      <c r="E128" s="7" t="n">
        <f aca="false">Conteos!F128/Conteos!$D128</f>
        <v>0.419215012554513</v>
      </c>
      <c r="F128" s="7" t="n">
        <f aca="false">Conteos!G128/Conteos!$D128</f>
        <v>0.220151881289056</v>
      </c>
      <c r="G128" s="7" t="n">
        <f aca="false">Conteos!H128/Conteos!$D128</f>
        <v>0.0431587343540561</v>
      </c>
      <c r="H128" s="7" t="n">
        <f aca="false">Conteos!I128/Conteos!$D128</f>
        <v>0.0605929883516774</v>
      </c>
      <c r="I128" s="7" t="n">
        <f aca="false">Conteos!J128/Conteos!$D128</f>
        <v>0.0647222903962695</v>
      </c>
      <c r="J128" s="7" t="n">
        <f aca="false">Conteos!K128/Conteos!$D128</f>
        <v>0.0222413109554645</v>
      </c>
      <c r="K128" s="7" t="n">
        <f aca="false">Conteos!L128/Conteos!$D128</f>
        <v>0.00125922709509336</v>
      </c>
      <c r="L128" s="7" t="n">
        <f aca="false">Conteos!M128/Conteos!$D128</f>
        <v>0.00109828390190489</v>
      </c>
      <c r="M128" s="7" t="n">
        <f aca="false">SUM(H128:L128)</f>
        <v>0.14991410070041</v>
      </c>
      <c r="N128" s="7" t="n">
        <f aca="false">SUM(I128:L128)</f>
        <v>0.0893211123487323</v>
      </c>
      <c r="O128" s="7" t="n">
        <f aca="false">SUM(G128:L128)</f>
        <v>0.193072835054466</v>
      </c>
      <c r="P128" s="7" t="n">
        <f aca="false">Conteos!N128/Conteos!D128</f>
        <v>0.568444278729068</v>
      </c>
    </row>
    <row r="129" customFormat="false" ht="15" hidden="false" customHeight="false" outlineLevel="0" collapsed="false">
      <c r="A129" s="4" t="str">
        <f aca="false">Conteos!A129</f>
        <v>84o</v>
      </c>
      <c r="B129" s="4" t="str">
        <f aca="false">Conteos!B129</f>
        <v>Offsuit</v>
      </c>
      <c r="C129" s="6" t="n">
        <f aca="false">Conteos!C129</f>
        <v>12</v>
      </c>
      <c r="D129" s="7" t="n">
        <f aca="false">Conteos!E129/Conteos!$D129</f>
        <v>0.188303536030508</v>
      </c>
      <c r="E129" s="7" t="n">
        <f aca="false">Conteos!F129/Conteos!$D129</f>
        <v>0.450044365572316</v>
      </c>
      <c r="F129" s="7" t="n">
        <f aca="false">Conteos!G129/Conteos!$D129</f>
        <v>0.226585361249032</v>
      </c>
      <c r="G129" s="7" t="n">
        <f aca="false">Conteos!H129/Conteos!$D129</f>
        <v>0.0442749532745568</v>
      </c>
      <c r="H129" s="7" t="n">
        <f aca="false">Conteos!I129/Conteos!$D129</f>
        <v>0.0475731087994865</v>
      </c>
      <c r="I129" s="7" t="n">
        <f aca="false">Conteos!J129/Conteos!$D129</f>
        <v>0.0195128282580377</v>
      </c>
      <c r="J129" s="7" t="n">
        <f aca="false">Conteos!K129/Conteos!$D129</f>
        <v>0.0222413109554645</v>
      </c>
      <c r="K129" s="7" t="n">
        <f aca="false">Conteos!L129/Conteos!$D129</f>
        <v>0.00125922709509336</v>
      </c>
      <c r="L129" s="7" t="n">
        <f aca="false">Conteos!M129/Conteos!$D129</f>
        <v>0.000205308765504352</v>
      </c>
      <c r="M129" s="7" t="n">
        <f aca="false">SUM(H129:L129)</f>
        <v>0.0907917838735864</v>
      </c>
      <c r="N129" s="7" t="n">
        <f aca="false">SUM(I129:L129)</f>
        <v>0.0432186750740999</v>
      </c>
      <c r="O129" s="7" t="n">
        <f aca="false">SUM(G129:L129)</f>
        <v>0.135066737148143</v>
      </c>
      <c r="P129" s="7" t="n">
        <f aca="false">Conteos!N129/Conteos!D129</f>
        <v>0.524353867356378</v>
      </c>
    </row>
    <row r="130" customFormat="false" ht="15" hidden="false" customHeight="false" outlineLevel="0" collapsed="false">
      <c r="A130" s="4" t="str">
        <f aca="false">Conteos!A130</f>
        <v>84s</v>
      </c>
      <c r="B130" s="4" t="str">
        <f aca="false">Conteos!B130</f>
        <v>Suited</v>
      </c>
      <c r="C130" s="6" t="n">
        <f aca="false">Conteos!C130</f>
        <v>4</v>
      </c>
      <c r="D130" s="7" t="n">
        <f aca="false">Conteos!E130/Conteos!$D130</f>
        <v>0.174038116634258</v>
      </c>
      <c r="E130" s="7" t="n">
        <f aca="false">Conteos!F130/Conteos!$D130</f>
        <v>0.427302761992864</v>
      </c>
      <c r="F130" s="7" t="n">
        <f aca="false">Conteos!G130/Conteos!$D130</f>
        <v>0.22139930902981</v>
      </c>
      <c r="G130" s="7" t="n">
        <f aca="false">Conteos!H130/Conteos!$D130</f>
        <v>0.0434235118654307</v>
      </c>
      <c r="H130" s="7" t="n">
        <f aca="false">Conteos!I130/Conteos!$D130</f>
        <v>0.0445151881289056</v>
      </c>
      <c r="I130" s="7" t="n">
        <f aca="false">Conteos!J130/Conteos!$D130</f>
        <v>0.065189544828107</v>
      </c>
      <c r="J130" s="7" t="n">
        <f aca="false">Conteos!K130/Conteos!$D130</f>
        <v>0.0222413109554645</v>
      </c>
      <c r="K130" s="7" t="n">
        <f aca="false">Conteos!L130/Conteos!$D130</f>
        <v>0.00125922709509336</v>
      </c>
      <c r="L130" s="7" t="n">
        <f aca="false">Conteos!M130/Conteos!$D130</f>
        <v>0.000631029470067398</v>
      </c>
      <c r="M130" s="7" t="n">
        <f aca="false">SUM(H130:L130)</f>
        <v>0.133836300477638</v>
      </c>
      <c r="N130" s="7" t="n">
        <f aca="false">SUM(I130:L130)</f>
        <v>0.0893211123487323</v>
      </c>
      <c r="O130" s="7" t="n">
        <f aca="false">SUM(G130:L130)</f>
        <v>0.177259812343069</v>
      </c>
      <c r="P130" s="7" t="n">
        <f aca="false">Conteos!N130/Conteos!D130</f>
        <v>0.557629462515811</v>
      </c>
    </row>
    <row r="131" customFormat="false" ht="15" hidden="false" customHeight="false" outlineLevel="0" collapsed="false">
      <c r="A131" s="4" t="str">
        <f aca="false">Conteos!A131</f>
        <v>83o</v>
      </c>
      <c r="B131" s="4" t="str">
        <f aca="false">Conteos!B131</f>
        <v>Offsuit</v>
      </c>
      <c r="C131" s="6" t="n">
        <f aca="false">Conteos!C131</f>
        <v>12</v>
      </c>
      <c r="D131" s="7" t="n">
        <f aca="false">Conteos!E131/Conteos!$D131</f>
        <v>0.195312352508071</v>
      </c>
      <c r="E131" s="7" t="n">
        <f aca="false">Conteos!F131/Conteos!$D131</f>
        <v>0.458562555456965</v>
      </c>
      <c r="F131" s="7" t="n">
        <f aca="false">Conteos!G131/Conteos!$D131</f>
        <v>0.227864411259416</v>
      </c>
      <c r="G131" s="7" t="n">
        <f aca="false">Conteos!H131/Conteos!$D131</f>
        <v>0.0445449225018407</v>
      </c>
      <c r="H131" s="7" t="n">
        <f aca="false">Conteos!I131/Conteos!$D131</f>
        <v>0.0304970831996073</v>
      </c>
      <c r="I131" s="7" t="n">
        <f aca="false">Conteos!J131/Conteos!$D131</f>
        <v>0.0195335951216749</v>
      </c>
      <c r="J131" s="7" t="n">
        <f aca="false">Conteos!K131/Conteos!$D131</f>
        <v>0.0222413109554645</v>
      </c>
      <c r="K131" s="7" t="n">
        <f aca="false">Conteos!L131/Conteos!$D131</f>
        <v>0.00125922709509336</v>
      </c>
      <c r="L131" s="7" t="n">
        <f aca="false">Conteos!M131/Conteos!$D131</f>
        <v>0.00018454190186713</v>
      </c>
      <c r="M131" s="7" t="n">
        <f aca="false">SUM(H131:L131)</f>
        <v>0.0737157582737073</v>
      </c>
      <c r="N131" s="7" t="n">
        <f aca="false">SUM(I131:L131)</f>
        <v>0.0432186750740999</v>
      </c>
      <c r="O131" s="7" t="n">
        <f aca="false">SUM(G131:L131)</f>
        <v>0.118260680775548</v>
      </c>
      <c r="P131" s="7" t="n">
        <f aca="false">Conteos!N131/Conteos!D131</f>
        <v>0.512680530121392</v>
      </c>
    </row>
    <row r="132" customFormat="false" ht="15" hidden="false" customHeight="false" outlineLevel="0" collapsed="false">
      <c r="A132" s="4" t="str">
        <f aca="false">Conteos!A132</f>
        <v>83s</v>
      </c>
      <c r="B132" s="4" t="str">
        <f aca="false">Conteos!B132</f>
        <v>Suited</v>
      </c>
      <c r="C132" s="6" t="n">
        <f aca="false">Conteos!C132</f>
        <v>4</v>
      </c>
      <c r="D132" s="7" t="n">
        <f aca="false">Conteos!E132/Conteos!$D132</f>
        <v>0.18051596216655</v>
      </c>
      <c r="E132" s="7" t="n">
        <f aca="false">Conteos!F132/Conteos!$D132</f>
        <v>0.435390511431215</v>
      </c>
      <c r="F132" s="7" t="n">
        <f aca="false">Conteos!G132/Conteos!$D132</f>
        <v>0.222646736770564</v>
      </c>
      <c r="G132" s="7" t="n">
        <f aca="false">Conteos!H132/Conteos!$D132</f>
        <v>0.0436882893768053</v>
      </c>
      <c r="H132" s="7" t="n">
        <f aca="false">Conteos!I132/Conteos!$D132</f>
        <v>0.0284373879061338</v>
      </c>
      <c r="I132" s="7" t="n">
        <f aca="false">Conteos!J132/Conteos!$D132</f>
        <v>0.0656567992599445</v>
      </c>
      <c r="J132" s="7" t="n">
        <f aca="false">Conteos!K132/Conteos!$D132</f>
        <v>0.0222413109554645</v>
      </c>
      <c r="K132" s="7" t="n">
        <f aca="false">Conteos!L132/Conteos!$D132</f>
        <v>0.00125922709509336</v>
      </c>
      <c r="L132" s="7" t="n">
        <f aca="false">Conteos!M132/Conteos!$D132</f>
        <v>0.000163775038229908</v>
      </c>
      <c r="M132" s="7" t="n">
        <f aca="false">SUM(H132:L132)</f>
        <v>0.117758500254866</v>
      </c>
      <c r="N132" s="7" t="n">
        <f aca="false">SUM(I132:L132)</f>
        <v>0.0893211123487323</v>
      </c>
      <c r="O132" s="7" t="n">
        <f aca="false">SUM(G132:L132)</f>
        <v>0.161446789631671</v>
      </c>
      <c r="P132" s="7" t="n">
        <f aca="false">Conteos!N132/Conteos!D132</f>
        <v>0.546814646302554</v>
      </c>
    </row>
    <row r="133" customFormat="false" ht="15" hidden="false" customHeight="false" outlineLevel="0" collapsed="false">
      <c r="A133" s="4" t="str">
        <f aca="false">Conteos!A133</f>
        <v>82o</v>
      </c>
      <c r="B133" s="4" t="str">
        <f aca="false">Conteos!B133</f>
        <v>Offsuit</v>
      </c>
      <c r="C133" s="6" t="n">
        <f aca="false">Conteos!C133</f>
        <v>12</v>
      </c>
      <c r="D133" s="7" t="n">
        <f aca="false">Conteos!E133/Conteos!$D133</f>
        <v>0.195312352508071</v>
      </c>
      <c r="E133" s="7" t="n">
        <f aca="false">Conteos!F133/Conteos!$D133</f>
        <v>0.458562555456965</v>
      </c>
      <c r="F133" s="7" t="n">
        <f aca="false">Conteos!G133/Conteos!$D133</f>
        <v>0.227864411259416</v>
      </c>
      <c r="G133" s="7" t="n">
        <f aca="false">Conteos!H133/Conteos!$D133</f>
        <v>0.0445449225018407</v>
      </c>
      <c r="H133" s="7" t="n">
        <f aca="false">Conteos!I133/Conteos!$D133</f>
        <v>0.0304970831996073</v>
      </c>
      <c r="I133" s="7" t="n">
        <f aca="false">Conteos!J133/Conteos!$D133</f>
        <v>0.0195543619853122</v>
      </c>
      <c r="J133" s="7" t="n">
        <f aca="false">Conteos!K133/Conteos!$D133</f>
        <v>0.0222413109554645</v>
      </c>
      <c r="K133" s="7" t="n">
        <f aca="false">Conteos!L133/Conteos!$D133</f>
        <v>0.00125922709509336</v>
      </c>
      <c r="L133" s="7" t="n">
        <f aca="false">Conteos!M133/Conteos!$D133</f>
        <v>0.000163775038229908</v>
      </c>
      <c r="M133" s="7" t="n">
        <f aca="false">SUM(H133:L133)</f>
        <v>0.0737157582737073</v>
      </c>
      <c r="N133" s="7" t="n">
        <f aca="false">SUM(I133:L133)</f>
        <v>0.0432186750740999</v>
      </c>
      <c r="O133" s="7" t="n">
        <f aca="false">SUM(G133:L133)</f>
        <v>0.118260680775548</v>
      </c>
      <c r="P133" s="7" t="n">
        <f aca="false">Conteos!N133/Conteos!D133</f>
        <v>0.512563008552172</v>
      </c>
    </row>
    <row r="134" customFormat="false" ht="15" hidden="false" customHeight="false" outlineLevel="0" collapsed="false">
      <c r="A134" s="4" t="str">
        <f aca="false">Conteos!A134</f>
        <v>82s</v>
      </c>
      <c r="B134" s="4" t="str">
        <f aca="false">Conteos!B134</f>
        <v>Suited</v>
      </c>
      <c r="C134" s="6" t="n">
        <f aca="false">Conteos!C134</f>
        <v>4</v>
      </c>
      <c r="D134" s="7" t="n">
        <f aca="false">Conteos!E134/Conteos!$D134</f>
        <v>0.18051596216655</v>
      </c>
      <c r="E134" s="7" t="n">
        <f aca="false">Conteos!F134/Conteos!$D134</f>
        <v>0.435390511431215</v>
      </c>
      <c r="F134" s="7" t="n">
        <f aca="false">Conteos!G134/Conteos!$D134</f>
        <v>0.222646736770564</v>
      </c>
      <c r="G134" s="7" t="n">
        <f aca="false">Conteos!H134/Conteos!$D134</f>
        <v>0.0436882893768053</v>
      </c>
      <c r="H134" s="7" t="n">
        <f aca="false">Conteos!I134/Conteos!$D134</f>
        <v>0.0284373879061338</v>
      </c>
      <c r="I134" s="7" t="n">
        <f aca="false">Conteos!J134/Conteos!$D134</f>
        <v>0.0656567992599445</v>
      </c>
      <c r="J134" s="7" t="n">
        <f aca="false">Conteos!K134/Conteos!$D134</f>
        <v>0.0222413109554645</v>
      </c>
      <c r="K134" s="7" t="n">
        <f aca="false">Conteos!L134/Conteos!$D134</f>
        <v>0.00125922709509336</v>
      </c>
      <c r="L134" s="7" t="n">
        <f aca="false">Conteos!M134/Conteos!$D134</f>
        <v>0.000163775038229908</v>
      </c>
      <c r="M134" s="7" t="n">
        <f aca="false">SUM(H134:L134)</f>
        <v>0.117758500254866</v>
      </c>
      <c r="N134" s="7" t="n">
        <f aca="false">SUM(I134:L134)</f>
        <v>0.0893211123487323</v>
      </c>
      <c r="O134" s="7" t="n">
        <f aca="false">SUM(G134:L134)</f>
        <v>0.161446789631671</v>
      </c>
      <c r="P134" s="7" t="n">
        <f aca="false">Conteos!N134/Conteos!D134</f>
        <v>0.546724971209575</v>
      </c>
    </row>
    <row r="135" customFormat="false" ht="15" hidden="false" customHeight="false" outlineLevel="0" collapsed="false">
      <c r="A135" s="4" t="str">
        <f aca="false">Conteos!A135</f>
        <v>77</v>
      </c>
      <c r="B135" s="4" t="str">
        <f aca="false">Conteos!B135</f>
        <v>Pareja</v>
      </c>
      <c r="C135" s="6" t="n">
        <f aca="false">Conteos!C135</f>
        <v>6</v>
      </c>
      <c r="D135" s="7" t="n">
        <f aca="false">Conteos!E135/Conteos!$D135</f>
        <v>0</v>
      </c>
      <c r="E135" s="7" t="n">
        <f aca="false">Conteos!F135/Conteos!$D135</f>
        <v>0.35184258717363</v>
      </c>
      <c r="F135" s="7" t="n">
        <f aca="false">Conteos!G135/Conteos!$D135</f>
        <v>0.394532651173328</v>
      </c>
      <c r="G135" s="7" t="n">
        <f aca="false">Conteos!H135/Conteos!$D135</f>
        <v>0.117021276595745</v>
      </c>
      <c r="H135" s="7" t="n">
        <f aca="false">Conteos!I135/Conteos!$D135</f>
        <v>0.0229851422530159</v>
      </c>
      <c r="I135" s="7" t="n">
        <f aca="false">Conteos!J135/Conteos!$D135</f>
        <v>0.0194925333685741</v>
      </c>
      <c r="J135" s="7" t="n">
        <f aca="false">Conteos!K135/Conteos!$D135</f>
        <v>0.0854764107308048</v>
      </c>
      <c r="K135" s="7" t="n">
        <f aca="false">Conteos!L135/Conteos!$D135</f>
        <v>0.00842379504993487</v>
      </c>
      <c r="L135" s="7" t="n">
        <f aca="false">Conteos!M135/Conteos!$D135</f>
        <v>0.000225603654968</v>
      </c>
      <c r="M135" s="7" t="n">
        <f aca="false">SUM(H135:L135)</f>
        <v>0.136603485057298</v>
      </c>
      <c r="N135" s="7" t="n">
        <f aca="false">SUM(I135:L135)</f>
        <v>0.113618342804282</v>
      </c>
      <c r="O135" s="7" t="n">
        <f aca="false">SUM(G135:L135)</f>
        <v>0.253624761653042</v>
      </c>
      <c r="P135" s="7" t="n">
        <f aca="false">Conteos!N135/Conteos!D135</f>
        <v>0.947927089429666</v>
      </c>
    </row>
    <row r="136" customFormat="false" ht="15" hidden="false" customHeight="false" outlineLevel="0" collapsed="false">
      <c r="A136" s="4" t="str">
        <f aca="false">Conteos!A136</f>
        <v>76o</v>
      </c>
      <c r="B136" s="4" t="str">
        <f aca="false">Conteos!B136</f>
        <v>Offsuit</v>
      </c>
      <c r="C136" s="6" t="n">
        <f aca="false">Conteos!C136</f>
        <v>12</v>
      </c>
      <c r="D136" s="7" t="n">
        <f aca="false">Conteos!E136/Conteos!$D136</f>
        <v>0.172416885348034</v>
      </c>
      <c r="E136" s="7" t="n">
        <f aca="false">Conteos!F136/Conteos!$D136</f>
        <v>0.427329192546584</v>
      </c>
      <c r="F136" s="7" t="n">
        <f aca="false">Conteos!G136/Conteos!$D136</f>
        <v>0.222748211217882</v>
      </c>
      <c r="G136" s="7" t="n">
        <f aca="false">Conteos!H136/Conteos!$D136</f>
        <v>0.0434650455927052</v>
      </c>
      <c r="H136" s="7" t="n">
        <f aca="false">Conteos!I136/Conteos!$D136</f>
        <v>0.0908219902206951</v>
      </c>
      <c r="I136" s="7" t="n">
        <f aca="false">Conteos!J136/Conteos!$D136</f>
        <v>0.0194925333685741</v>
      </c>
      <c r="J136" s="7" t="n">
        <f aca="false">Conteos!K136/Conteos!$D136</f>
        <v>0.0222413109554645</v>
      </c>
      <c r="K136" s="7" t="n">
        <f aca="false">Conteos!L136/Conteos!$D136</f>
        <v>0.00125922709509336</v>
      </c>
      <c r="L136" s="7" t="n">
        <f aca="false">Conteos!M136/Conteos!$D136</f>
        <v>0.000225603654968</v>
      </c>
      <c r="M136" s="7" t="n">
        <f aca="false">SUM(H136:L136)</f>
        <v>0.134040665294795</v>
      </c>
      <c r="N136" s="7" t="n">
        <f aca="false">SUM(I136:L136)</f>
        <v>0.0432186750740999</v>
      </c>
      <c r="O136" s="7" t="n">
        <f aca="false">SUM(G136:L136)</f>
        <v>0.1775057108875</v>
      </c>
      <c r="P136" s="7" t="n">
        <f aca="false">Conteos!N136/Conteos!D136</f>
        <v>0.552571315297627</v>
      </c>
    </row>
    <row r="137" customFormat="false" ht="15" hidden="false" customHeight="false" outlineLevel="0" collapsed="false">
      <c r="A137" s="4" t="str">
        <f aca="false">Conteos!A137</f>
        <v>76s</v>
      </c>
      <c r="B137" s="4" t="str">
        <f aca="false">Conteos!B137</f>
        <v>Suited</v>
      </c>
      <c r="C137" s="6" t="n">
        <f aca="false">Conteos!C137</f>
        <v>4</v>
      </c>
      <c r="D137" s="7" t="n">
        <f aca="false">Conteos!E137/Conteos!$D137</f>
        <v>0.159355000094395</v>
      </c>
      <c r="E137" s="7" t="n">
        <f aca="false">Conteos!F137/Conteos!$D137</f>
        <v>0.405735430157262</v>
      </c>
      <c r="F137" s="7" t="n">
        <f aca="false">Conteos!G137/Conteos!$D137</f>
        <v>0.217657025807548</v>
      </c>
      <c r="G137" s="7" t="n">
        <f aca="false">Conteos!H137/Conteos!$D137</f>
        <v>0.042629179331307</v>
      </c>
      <c r="H137" s="7" t="n">
        <f aca="false">Conteos!I137/Conteos!$D137</f>
        <v>0.0853022522607563</v>
      </c>
      <c r="I137" s="7" t="n">
        <f aca="false">Conteos!J137/Conteos!$D137</f>
        <v>0.0638297872340426</v>
      </c>
      <c r="J137" s="7" t="n">
        <f aca="false">Conteos!K137/Conteos!$D137</f>
        <v>0.0222413109554645</v>
      </c>
      <c r="K137" s="7" t="n">
        <f aca="false">Conteos!L137/Conteos!$D137</f>
        <v>0.00125922709509336</v>
      </c>
      <c r="L137" s="7" t="n">
        <f aca="false">Conteos!M137/Conteos!$D137</f>
        <v>0.00199078706413185</v>
      </c>
      <c r="M137" s="7" t="n">
        <f aca="false">SUM(H137:L137)</f>
        <v>0.174623364609489</v>
      </c>
      <c r="N137" s="7" t="n">
        <f aca="false">SUM(I137:L137)</f>
        <v>0.0893211123487323</v>
      </c>
      <c r="O137" s="7" t="n">
        <f aca="false">SUM(G137:L137)</f>
        <v>0.217252543940796</v>
      </c>
      <c r="P137" s="7" t="n">
        <f aca="false">Conteos!N137/Conteos!D137</f>
        <v>0.583813645717306</v>
      </c>
    </row>
    <row r="138" customFormat="false" ht="15" hidden="false" customHeight="false" outlineLevel="0" collapsed="false">
      <c r="A138" s="4" t="str">
        <f aca="false">Conteos!A138</f>
        <v>75o</v>
      </c>
      <c r="B138" s="4" t="str">
        <f aca="false">Conteos!B138</f>
        <v>Offsuit</v>
      </c>
      <c r="C138" s="6" t="n">
        <f aca="false">Conteos!C138</f>
        <v>12</v>
      </c>
      <c r="D138" s="7" t="n">
        <f aca="false">Conteos!E138/Conteos!$D138</f>
        <v>0.176622175234571</v>
      </c>
      <c r="E138" s="7" t="n">
        <f aca="false">Conteos!F138/Conteos!$D138</f>
        <v>0.434427684117125</v>
      </c>
      <c r="F138" s="7" t="n">
        <f aca="false">Conteos!G138/Conteos!$D138</f>
        <v>0.224027261228266</v>
      </c>
      <c r="G138" s="7" t="n">
        <f aca="false">Conteos!H138/Conteos!$D138</f>
        <v>0.0437350148199891</v>
      </c>
      <c r="H138" s="7" t="n">
        <f aca="false">Conteos!I138/Conteos!$D138</f>
        <v>0.0779691895259491</v>
      </c>
      <c r="I138" s="7" t="n">
        <f aca="false">Conteos!J138/Conteos!$D138</f>
        <v>0.0194920613944005</v>
      </c>
      <c r="J138" s="7" t="n">
        <f aca="false">Conteos!K138/Conteos!$D138</f>
        <v>0.0222413109554645</v>
      </c>
      <c r="K138" s="7" t="n">
        <f aca="false">Conteos!L138/Conteos!$D138</f>
        <v>0.00125922709509336</v>
      </c>
      <c r="L138" s="7" t="n">
        <f aca="false">Conteos!M138/Conteos!$D138</f>
        <v>0.000226075629141573</v>
      </c>
      <c r="M138" s="7" t="n">
        <f aca="false">SUM(H138:L138)</f>
        <v>0.121187864600049</v>
      </c>
      <c r="N138" s="7" t="n">
        <f aca="false">SUM(I138:L138)</f>
        <v>0.0432186750740999</v>
      </c>
      <c r="O138" s="7" t="n">
        <f aca="false">SUM(G138:L138)</f>
        <v>0.164922879420038</v>
      </c>
      <c r="P138" s="7" t="n">
        <f aca="false">Conteos!N138/Conteos!D138</f>
        <v>0.544533123147501</v>
      </c>
    </row>
    <row r="139" customFormat="false" ht="15" hidden="false" customHeight="false" outlineLevel="0" collapsed="false">
      <c r="A139" s="4" t="str">
        <f aca="false">Conteos!A139</f>
        <v>75s</v>
      </c>
      <c r="B139" s="4" t="str">
        <f aca="false">Conteos!B139</f>
        <v>Suited</v>
      </c>
      <c r="C139" s="6" t="n">
        <f aca="false">Conteos!C139</f>
        <v>4</v>
      </c>
      <c r="D139" s="7" t="n">
        <f aca="false">Conteos!E139/Conteos!$D139</f>
        <v>0.16324170741377</v>
      </c>
      <c r="E139" s="7" t="n">
        <f aca="false">Conteos!F139/Conteos!$D139</f>
        <v>0.412475221355887</v>
      </c>
      <c r="F139" s="7" t="n">
        <f aca="false">Conteos!G139/Conteos!$D139</f>
        <v>0.218904453548302</v>
      </c>
      <c r="G139" s="7" t="n">
        <f aca="false">Conteos!H139/Conteos!$D139</f>
        <v>0.0428939568426816</v>
      </c>
      <c r="H139" s="7" t="n">
        <f aca="false">Conteos!I139/Conteos!$D139</f>
        <v>0.0731635484906266</v>
      </c>
      <c r="I139" s="7" t="n">
        <f aca="false">Conteos!J139/Conteos!$D139</f>
        <v>0.0642758028280693</v>
      </c>
      <c r="J139" s="7" t="n">
        <f aca="false">Conteos!K139/Conteos!$D139</f>
        <v>0.0222413109554645</v>
      </c>
      <c r="K139" s="7" t="n">
        <f aca="false">Conteos!L139/Conteos!$D139</f>
        <v>0.00125922709509336</v>
      </c>
      <c r="L139" s="7" t="n">
        <f aca="false">Conteos!M139/Conteos!$D139</f>
        <v>0.00154477147010516</v>
      </c>
      <c r="M139" s="7" t="n">
        <f aca="false">SUM(H139:L139)</f>
        <v>0.162484660839359</v>
      </c>
      <c r="N139" s="7" t="n">
        <f aca="false">SUM(I139:L139)</f>
        <v>0.0893211123487323</v>
      </c>
      <c r="O139" s="7" t="n">
        <f aca="false">SUM(G139:L139)</f>
        <v>0.20537861768204</v>
      </c>
      <c r="P139" s="7" t="n">
        <f aca="false">Conteos!N139/Conteos!D139</f>
        <v>0.576345126394684</v>
      </c>
    </row>
    <row r="140" customFormat="false" ht="15" hidden="false" customHeight="false" outlineLevel="0" collapsed="false">
      <c r="A140" s="4" t="str">
        <f aca="false">Conteos!A140</f>
        <v>74o</v>
      </c>
      <c r="B140" s="4" t="str">
        <f aca="false">Conteos!B140</f>
        <v>Offsuit</v>
      </c>
      <c r="C140" s="6" t="n">
        <f aca="false">Conteos!C140</f>
        <v>12</v>
      </c>
      <c r="D140" s="7" t="n">
        <f aca="false">Conteos!E140/Conteos!$D140</f>
        <v>0.183630991712134</v>
      </c>
      <c r="E140" s="7" t="n">
        <f aca="false">Conteos!F140/Conteos!$D140</f>
        <v>0.442945874001775</v>
      </c>
      <c r="F140" s="7" t="n">
        <f aca="false">Conteos!G140/Conteos!$D140</f>
        <v>0.225306311238649</v>
      </c>
      <c r="G140" s="7" t="n">
        <f aca="false">Conteos!H140/Conteos!$D140</f>
        <v>0.0440049840472729</v>
      </c>
      <c r="H140" s="7" t="n">
        <f aca="false">Conteos!I140/Conteos!$D140</f>
        <v>0.06089316392607</v>
      </c>
      <c r="I140" s="7" t="n">
        <f aca="false">Conteos!J140/Conteos!$D140</f>
        <v>0.0195128282580377</v>
      </c>
      <c r="J140" s="7" t="n">
        <f aca="false">Conteos!K140/Conteos!$D140</f>
        <v>0.0222413109554645</v>
      </c>
      <c r="K140" s="7" t="n">
        <f aca="false">Conteos!L140/Conteos!$D140</f>
        <v>0.00125922709509336</v>
      </c>
      <c r="L140" s="7" t="n">
        <f aca="false">Conteos!M140/Conteos!$D140</f>
        <v>0.000205308765504352</v>
      </c>
      <c r="M140" s="7" t="n">
        <f aca="false">SUM(H140:L140)</f>
        <v>0.10411183900017</v>
      </c>
      <c r="N140" s="7" t="n">
        <f aca="false">SUM(I140:L140)</f>
        <v>0.0432186750740999</v>
      </c>
      <c r="O140" s="7" t="n">
        <f aca="false">SUM(G140:L140)</f>
        <v>0.148116823047443</v>
      </c>
      <c r="P140" s="7" t="n">
        <f aca="false">Conteos!N140/Conteos!D140</f>
        <v>0.532859785912515</v>
      </c>
    </row>
    <row r="141" customFormat="false" ht="15" hidden="false" customHeight="false" outlineLevel="0" collapsed="false">
      <c r="A141" s="4" t="str">
        <f aca="false">Conteos!A141</f>
        <v>74s</v>
      </c>
      <c r="B141" s="4" t="str">
        <f aca="false">Conteos!B141</f>
        <v>Suited</v>
      </c>
      <c r="C141" s="6" t="n">
        <f aca="false">Conteos!C141</f>
        <v>4</v>
      </c>
      <c r="D141" s="7" t="n">
        <f aca="false">Conteos!E141/Conteos!$D141</f>
        <v>0.169719552946063</v>
      </c>
      <c r="E141" s="7" t="n">
        <f aca="false">Conteos!F141/Conteos!$D141</f>
        <v>0.420562970794238</v>
      </c>
      <c r="F141" s="7" t="n">
        <f aca="false">Conteos!G141/Conteos!$D141</f>
        <v>0.220151881289056</v>
      </c>
      <c r="G141" s="7" t="n">
        <f aca="false">Conteos!H141/Conteos!$D141</f>
        <v>0.0431587343540561</v>
      </c>
      <c r="H141" s="7" t="n">
        <f aca="false">Conteos!I141/Conteos!$D141</f>
        <v>0.0570857482678548</v>
      </c>
      <c r="I141" s="7" t="n">
        <f aca="false">Conteos!J141/Conteos!$D141</f>
        <v>0.0647430572599067</v>
      </c>
      <c r="J141" s="7" t="n">
        <f aca="false">Conteos!K141/Conteos!$D141</f>
        <v>0.0222413109554645</v>
      </c>
      <c r="K141" s="7" t="n">
        <f aca="false">Conteos!L141/Conteos!$D141</f>
        <v>0.00125922709509336</v>
      </c>
      <c r="L141" s="7" t="n">
        <f aca="false">Conteos!M141/Conteos!$D141</f>
        <v>0.00107751703826767</v>
      </c>
      <c r="M141" s="7" t="n">
        <f aca="false">SUM(H141:L141)</f>
        <v>0.146406860616587</v>
      </c>
      <c r="N141" s="7" t="n">
        <f aca="false">SUM(I141:L141)</f>
        <v>0.0893211123487323</v>
      </c>
      <c r="O141" s="7" t="n">
        <f aca="false">SUM(G141:L141)</f>
        <v>0.189565594970643</v>
      </c>
      <c r="P141" s="7" t="n">
        <f aca="false">Conteos!N141/Conteos!D141</f>
        <v>0.565530310181427</v>
      </c>
    </row>
    <row r="142" customFormat="false" ht="15" hidden="false" customHeight="false" outlineLevel="0" collapsed="false">
      <c r="A142" s="4" t="str">
        <f aca="false">Conteos!A142</f>
        <v>73o</v>
      </c>
      <c r="B142" s="4" t="str">
        <f aca="false">Conteos!B142</f>
        <v>Offsuit</v>
      </c>
      <c r="C142" s="6" t="n">
        <f aca="false">Conteos!C142</f>
        <v>12</v>
      </c>
      <c r="D142" s="7" t="n">
        <f aca="false">Conteos!E142/Conteos!$D142</f>
        <v>0.190639808189696</v>
      </c>
      <c r="E142" s="7" t="n">
        <f aca="false">Conteos!F142/Conteos!$D142</f>
        <v>0.451464063886424</v>
      </c>
      <c r="F142" s="7" t="n">
        <f aca="false">Conteos!G142/Conteos!$D142</f>
        <v>0.226585361249032</v>
      </c>
      <c r="G142" s="7" t="n">
        <f aca="false">Conteos!H142/Conteos!$D142</f>
        <v>0.0442749532745568</v>
      </c>
      <c r="H142" s="7" t="n">
        <f aca="false">Conteos!I142/Conteos!$D142</f>
        <v>0.0438171383261908</v>
      </c>
      <c r="I142" s="7" t="n">
        <f aca="false">Conteos!J142/Conteos!$D142</f>
        <v>0.0195335951216749</v>
      </c>
      <c r="J142" s="7" t="n">
        <f aca="false">Conteos!K142/Conteos!$D142</f>
        <v>0.0222413109554645</v>
      </c>
      <c r="K142" s="7" t="n">
        <f aca="false">Conteos!L142/Conteos!$D142</f>
        <v>0.00125922709509336</v>
      </c>
      <c r="L142" s="7" t="n">
        <f aca="false">Conteos!M142/Conteos!$D142</f>
        <v>0.00018454190186713</v>
      </c>
      <c r="M142" s="7" t="n">
        <f aca="false">SUM(H142:L142)</f>
        <v>0.0870358134002907</v>
      </c>
      <c r="N142" s="7" t="n">
        <f aca="false">SUM(I142:L142)</f>
        <v>0.0432186750740999</v>
      </c>
      <c r="O142" s="7" t="n">
        <f aca="false">SUM(G142:L142)</f>
        <v>0.131310766674848</v>
      </c>
      <c r="P142" s="7" t="n">
        <f aca="false">Conteos!N142/Conteos!D142</f>
        <v>0.521186448677528</v>
      </c>
    </row>
    <row r="143" customFormat="false" ht="15" hidden="false" customHeight="false" outlineLevel="0" collapsed="false">
      <c r="A143" s="4" t="str">
        <f aca="false">Conteos!A143</f>
        <v>73s</v>
      </c>
      <c r="B143" s="4" t="str">
        <f aca="false">Conteos!B143</f>
        <v>Suited</v>
      </c>
      <c r="C143" s="6" t="n">
        <f aca="false">Conteos!C143</f>
        <v>4</v>
      </c>
      <c r="D143" s="7" t="n">
        <f aca="false">Conteos!E143/Conteos!$D143</f>
        <v>0.176197398478355</v>
      </c>
      <c r="E143" s="7" t="n">
        <f aca="false">Conteos!F143/Conteos!$D143</f>
        <v>0.428650720232589</v>
      </c>
      <c r="F143" s="7" t="n">
        <f aca="false">Conteos!G143/Conteos!$D143</f>
        <v>0.22139930902981</v>
      </c>
      <c r="G143" s="7" t="n">
        <f aca="false">Conteos!H143/Conteos!$D143</f>
        <v>0.0434235118654307</v>
      </c>
      <c r="H143" s="7" t="n">
        <f aca="false">Conteos!I143/Conteos!$D143</f>
        <v>0.041007948045083</v>
      </c>
      <c r="I143" s="7" t="n">
        <f aca="false">Conteos!J143/Conteos!$D143</f>
        <v>0.0652103116917442</v>
      </c>
      <c r="J143" s="7" t="n">
        <f aca="false">Conteos!K143/Conteos!$D143</f>
        <v>0.0222413109554645</v>
      </c>
      <c r="K143" s="7" t="n">
        <f aca="false">Conteos!L143/Conteos!$D143</f>
        <v>0.00125922709509336</v>
      </c>
      <c r="L143" s="7" t="n">
        <f aca="false">Conteos!M143/Conteos!$D143</f>
        <v>0.000610262606430176</v>
      </c>
      <c r="M143" s="7" t="n">
        <f aca="false">SUM(H143:L143)</f>
        <v>0.130329060393815</v>
      </c>
      <c r="N143" s="7" t="n">
        <f aca="false">SUM(I143:L143)</f>
        <v>0.0893211123487323</v>
      </c>
      <c r="O143" s="7" t="n">
        <f aca="false">SUM(G143:L143)</f>
        <v>0.173752572259246</v>
      </c>
      <c r="P143" s="7" t="n">
        <f aca="false">Conteos!N143/Conteos!D143</f>
        <v>0.55471549396817</v>
      </c>
    </row>
    <row r="144" customFormat="false" ht="15" hidden="false" customHeight="false" outlineLevel="0" collapsed="false">
      <c r="A144" s="4" t="str">
        <f aca="false">Conteos!A144</f>
        <v>72o</v>
      </c>
      <c r="B144" s="4" t="str">
        <f aca="false">Conteos!B144</f>
        <v>Offsuit</v>
      </c>
      <c r="C144" s="6" t="n">
        <f aca="false">Conteos!C144</f>
        <v>12</v>
      </c>
      <c r="D144" s="7" t="n">
        <f aca="false">Conteos!E144/Conteos!$D144</f>
        <v>0.197648624667258</v>
      </c>
      <c r="E144" s="7" t="n">
        <f aca="false">Conteos!F144/Conteos!$D144</f>
        <v>0.459982253771074</v>
      </c>
      <c r="F144" s="7" t="n">
        <f aca="false">Conteos!G144/Conteos!$D144</f>
        <v>0.227864411259416</v>
      </c>
      <c r="G144" s="7" t="n">
        <f aca="false">Conteos!H144/Conteos!$D144</f>
        <v>0.0445449225018407</v>
      </c>
      <c r="H144" s="7" t="n">
        <f aca="false">Conteos!I144/Conteos!$D144</f>
        <v>0.0267411127263116</v>
      </c>
      <c r="I144" s="7" t="n">
        <f aca="false">Conteos!J144/Conteos!$D144</f>
        <v>0.0195543619853122</v>
      </c>
      <c r="J144" s="7" t="n">
        <f aca="false">Conteos!K144/Conteos!$D144</f>
        <v>0.0222413109554645</v>
      </c>
      <c r="K144" s="7" t="n">
        <f aca="false">Conteos!L144/Conteos!$D144</f>
        <v>0.00125922709509336</v>
      </c>
      <c r="L144" s="7" t="n">
        <f aca="false">Conteos!M144/Conteos!$D144</f>
        <v>0.000163775038229908</v>
      </c>
      <c r="M144" s="7" t="n">
        <f aca="false">SUM(H144:L144)</f>
        <v>0.0699597878004116</v>
      </c>
      <c r="N144" s="7" t="n">
        <f aca="false">SUM(I144:L144)</f>
        <v>0.0432186750740999</v>
      </c>
      <c r="O144" s="7" t="n">
        <f aca="false">SUM(G144:L144)</f>
        <v>0.114504710302252</v>
      </c>
      <c r="P144" s="7" t="n">
        <f aca="false">Conteos!N144/Conteos!D144</f>
        <v>0.509513111442542</v>
      </c>
    </row>
    <row r="145" customFormat="false" ht="15" hidden="false" customHeight="false" outlineLevel="0" collapsed="false">
      <c r="A145" s="4" t="str">
        <f aca="false">Conteos!A145</f>
        <v>72s</v>
      </c>
      <c r="B145" s="4" t="str">
        <f aca="false">Conteos!B145</f>
        <v>Suited</v>
      </c>
      <c r="C145" s="6" t="n">
        <f aca="false">Conteos!C145</f>
        <v>4</v>
      </c>
      <c r="D145" s="7" t="n">
        <f aca="false">Conteos!E145/Conteos!$D145</f>
        <v>0.182675244010648</v>
      </c>
      <c r="E145" s="7" t="n">
        <f aca="false">Conteos!F145/Conteos!$D145</f>
        <v>0.43673846967094</v>
      </c>
      <c r="F145" s="7" t="n">
        <f aca="false">Conteos!G145/Conteos!$D145</f>
        <v>0.222646736770564</v>
      </c>
      <c r="G145" s="7" t="n">
        <f aca="false">Conteos!H145/Conteos!$D145</f>
        <v>0.0436882893768053</v>
      </c>
      <c r="H145" s="7" t="n">
        <f aca="false">Conteos!I145/Conteos!$D145</f>
        <v>0.0249301478223112</v>
      </c>
      <c r="I145" s="7" t="n">
        <f aca="false">Conteos!J145/Conteos!$D145</f>
        <v>0.0656775661235817</v>
      </c>
      <c r="J145" s="7" t="n">
        <f aca="false">Conteos!K145/Conteos!$D145</f>
        <v>0.0222413109554645</v>
      </c>
      <c r="K145" s="7" t="n">
        <f aca="false">Conteos!L145/Conteos!$D145</f>
        <v>0.00125922709509336</v>
      </c>
      <c r="L145" s="7" t="n">
        <f aca="false">Conteos!M145/Conteos!$D145</f>
        <v>0.000143008174592686</v>
      </c>
      <c r="M145" s="7" t="n">
        <f aca="false">SUM(H145:L145)</f>
        <v>0.114251260171043</v>
      </c>
      <c r="N145" s="7" t="n">
        <f aca="false">SUM(I145:L145)</f>
        <v>0.0893211123487323</v>
      </c>
      <c r="O145" s="7" t="n">
        <f aca="false">SUM(G145:L145)</f>
        <v>0.157939549547849</v>
      </c>
      <c r="P145" s="7" t="n">
        <f aca="false">Conteos!N145/Conteos!D145</f>
        <v>0.543900677754913</v>
      </c>
    </row>
    <row r="146" customFormat="false" ht="15" hidden="false" customHeight="false" outlineLevel="0" collapsed="false">
      <c r="A146" s="4" t="str">
        <f aca="false">Conteos!A146</f>
        <v>66</v>
      </c>
      <c r="B146" s="4" t="str">
        <f aca="false">Conteos!B146</f>
        <v>Pareja</v>
      </c>
      <c r="C146" s="6" t="n">
        <f aca="false">Conteos!C146</f>
        <v>6</v>
      </c>
      <c r="D146" s="7" t="n">
        <f aca="false">Conteos!E146/Conteos!$D146</f>
        <v>0</v>
      </c>
      <c r="E146" s="7" t="n">
        <f aca="false">Conteos!F146/Conteos!$D146</f>
        <v>0.35184258717363</v>
      </c>
      <c r="F146" s="7" t="n">
        <f aca="false">Conteos!G146/Conteos!$D146</f>
        <v>0.394532651173328</v>
      </c>
      <c r="G146" s="7" t="n">
        <f aca="false">Conteos!H146/Conteos!$D146</f>
        <v>0.117021276595745</v>
      </c>
      <c r="H146" s="7" t="n">
        <f aca="false">Conteos!I146/Conteos!$D146</f>
        <v>0.0229851422530159</v>
      </c>
      <c r="I146" s="7" t="n">
        <f aca="false">Conteos!J146/Conteos!$D146</f>
        <v>0.0194925333685741</v>
      </c>
      <c r="J146" s="7" t="n">
        <f aca="false">Conteos!K146/Conteos!$D146</f>
        <v>0.0854764107308048</v>
      </c>
      <c r="K146" s="7" t="n">
        <f aca="false">Conteos!L146/Conteos!$D146</f>
        <v>0.00842379504993487</v>
      </c>
      <c r="L146" s="7" t="n">
        <f aca="false">Conteos!M146/Conteos!$D146</f>
        <v>0.000225603654968</v>
      </c>
      <c r="M146" s="7" t="n">
        <f aca="false">SUM(H146:L146)</f>
        <v>0.136603485057298</v>
      </c>
      <c r="N146" s="7" t="n">
        <f aca="false">SUM(I146:L146)</f>
        <v>0.113618342804282</v>
      </c>
      <c r="O146" s="7" t="n">
        <f aca="false">SUM(G146:L146)</f>
        <v>0.253624761653042</v>
      </c>
      <c r="P146" s="7" t="n">
        <f aca="false">Conteos!N146/Conteos!D146</f>
        <v>0.947927089429666</v>
      </c>
    </row>
    <row r="147" customFormat="false" ht="15" hidden="false" customHeight="false" outlineLevel="0" collapsed="false">
      <c r="A147" s="4" t="str">
        <f aca="false">Conteos!A147</f>
        <v>65o</v>
      </c>
      <c r="B147" s="4" t="str">
        <f aca="false">Conteos!B147</f>
        <v>Offsuit</v>
      </c>
      <c r="C147" s="6" t="n">
        <f aca="false">Conteos!C147</f>
        <v>12</v>
      </c>
      <c r="D147" s="7" t="n">
        <f aca="false">Conteos!E147/Conteos!$D147</f>
        <v>0.171949630916196</v>
      </c>
      <c r="E147" s="7" t="n">
        <f aca="false">Conteos!F147/Conteos!$D147</f>
        <v>0.427329192546584</v>
      </c>
      <c r="F147" s="7" t="n">
        <f aca="false">Conteos!G147/Conteos!$D147</f>
        <v>0.222748211217882</v>
      </c>
      <c r="G147" s="7" t="n">
        <f aca="false">Conteos!H147/Conteos!$D147</f>
        <v>0.0434650455927052</v>
      </c>
      <c r="H147" s="7" t="n">
        <f aca="false">Conteos!I147/Conteos!$D147</f>
        <v>0.0912892446525326</v>
      </c>
      <c r="I147" s="7" t="n">
        <f aca="false">Conteos!J147/Conteos!$D147</f>
        <v>0.0194920613944005</v>
      </c>
      <c r="J147" s="7" t="n">
        <f aca="false">Conteos!K147/Conteos!$D147</f>
        <v>0.0222413109554645</v>
      </c>
      <c r="K147" s="7" t="n">
        <f aca="false">Conteos!L147/Conteos!$D147</f>
        <v>0.00125922709509336</v>
      </c>
      <c r="L147" s="7" t="n">
        <f aca="false">Conteos!M147/Conteos!$D147</f>
        <v>0.000226075629141573</v>
      </c>
      <c r="M147" s="7" t="n">
        <f aca="false">SUM(H147:L147)</f>
        <v>0.134507919726633</v>
      </c>
      <c r="N147" s="7" t="n">
        <f aca="false">SUM(I147:L147)</f>
        <v>0.0432186750740999</v>
      </c>
      <c r="O147" s="7" t="n">
        <f aca="false">SUM(G147:L147)</f>
        <v>0.177972965319338</v>
      </c>
      <c r="P147" s="7" t="n">
        <f aca="false">Conteos!N147/Conteos!D147</f>
        <v>0.553039041703638</v>
      </c>
    </row>
    <row r="148" customFormat="false" ht="15" hidden="false" customHeight="false" outlineLevel="0" collapsed="false">
      <c r="A148" s="4" t="str">
        <f aca="false">Conteos!A148</f>
        <v>65s</v>
      </c>
      <c r="B148" s="4" t="str">
        <f aca="false">Conteos!B148</f>
        <v>Suited</v>
      </c>
      <c r="C148" s="6" t="n">
        <f aca="false">Conteos!C148</f>
        <v>4</v>
      </c>
      <c r="D148" s="7" t="n">
        <f aca="false">Conteos!E148/Conteos!$D148</f>
        <v>0.158923143725575</v>
      </c>
      <c r="E148" s="7" t="n">
        <f aca="false">Conteos!F148/Conteos!$D148</f>
        <v>0.405735430157262</v>
      </c>
      <c r="F148" s="7" t="n">
        <f aca="false">Conteos!G148/Conteos!$D148</f>
        <v>0.217657025807548</v>
      </c>
      <c r="G148" s="7" t="n">
        <f aca="false">Conteos!H148/Conteos!$D148</f>
        <v>0.042629179331307</v>
      </c>
      <c r="H148" s="7" t="n">
        <f aca="false">Conteos!I148/Conteos!$D148</f>
        <v>0.0857341086295758</v>
      </c>
      <c r="I148" s="7" t="n">
        <f aca="false">Conteos!J148/Conteos!$D148</f>
        <v>0.063829315259869</v>
      </c>
      <c r="J148" s="7" t="n">
        <f aca="false">Conteos!K148/Conteos!$D148</f>
        <v>0.0222413109554645</v>
      </c>
      <c r="K148" s="7" t="n">
        <f aca="false">Conteos!L148/Conteos!$D148</f>
        <v>0.00125922709509336</v>
      </c>
      <c r="L148" s="7" t="n">
        <f aca="false">Conteos!M148/Conteos!$D148</f>
        <v>0.00199125903830542</v>
      </c>
      <c r="M148" s="7" t="n">
        <f aca="false">SUM(H148:L148)</f>
        <v>0.175055220978308</v>
      </c>
      <c r="N148" s="7" t="n">
        <f aca="false">SUM(I148:L148)</f>
        <v>0.0893211123487323</v>
      </c>
      <c r="O148" s="7" t="n">
        <f aca="false">SUM(G148:L148)</f>
        <v>0.217684400309615</v>
      </c>
      <c r="P148" s="7" t="n">
        <f aca="false">Conteos!N148/Conteos!D148</f>
        <v>0.584245974060299</v>
      </c>
    </row>
    <row r="149" customFormat="false" ht="15" hidden="false" customHeight="false" outlineLevel="0" collapsed="false">
      <c r="A149" s="4" t="str">
        <f aca="false">Conteos!A149</f>
        <v>64o</v>
      </c>
      <c r="B149" s="4" t="str">
        <f aca="false">Conteos!B149</f>
        <v>Offsuit</v>
      </c>
      <c r="C149" s="6" t="n">
        <f aca="false">Conteos!C149</f>
        <v>12</v>
      </c>
      <c r="D149" s="7" t="n">
        <f aca="false">Conteos!E149/Conteos!$D149</f>
        <v>0.178958447393759</v>
      </c>
      <c r="E149" s="7" t="n">
        <f aca="false">Conteos!F149/Conteos!$D149</f>
        <v>0.435847382431233</v>
      </c>
      <c r="F149" s="7" t="n">
        <f aca="false">Conteos!G149/Conteos!$D149</f>
        <v>0.224027261228266</v>
      </c>
      <c r="G149" s="7" t="n">
        <f aca="false">Conteos!H149/Conteos!$D149</f>
        <v>0.0437350148199891</v>
      </c>
      <c r="H149" s="7" t="n">
        <f aca="false">Conteos!I149/Conteos!$D149</f>
        <v>0.0742132190526534</v>
      </c>
      <c r="I149" s="7" t="n">
        <f aca="false">Conteos!J149/Conteos!$D149</f>
        <v>0.0195128282580377</v>
      </c>
      <c r="J149" s="7" t="n">
        <f aca="false">Conteos!K149/Conteos!$D149</f>
        <v>0.0222413109554645</v>
      </c>
      <c r="K149" s="7" t="n">
        <f aca="false">Conteos!L149/Conteos!$D149</f>
        <v>0.00125922709509336</v>
      </c>
      <c r="L149" s="7" t="n">
        <f aca="false">Conteos!M149/Conteos!$D149</f>
        <v>0.000205308765504352</v>
      </c>
      <c r="M149" s="7" t="n">
        <f aca="false">SUM(H149:L149)</f>
        <v>0.117431894126753</v>
      </c>
      <c r="N149" s="7" t="n">
        <f aca="false">SUM(I149:L149)</f>
        <v>0.0432186750740999</v>
      </c>
      <c r="O149" s="7" t="n">
        <f aca="false">SUM(G149:L149)</f>
        <v>0.161166908946742</v>
      </c>
      <c r="P149" s="7" t="n">
        <f aca="false">Conteos!N149/Conteos!D149</f>
        <v>0.541365704468652</v>
      </c>
    </row>
    <row r="150" customFormat="false" ht="15" hidden="false" customHeight="false" outlineLevel="0" collapsed="false">
      <c r="A150" s="4" t="str">
        <f aca="false">Conteos!A150</f>
        <v>64s</v>
      </c>
      <c r="B150" s="4" t="str">
        <f aca="false">Conteos!B150</f>
        <v>Suited</v>
      </c>
      <c r="C150" s="6" t="n">
        <f aca="false">Conteos!C150</f>
        <v>4</v>
      </c>
      <c r="D150" s="7" t="n">
        <f aca="false">Conteos!E150/Conteos!$D150</f>
        <v>0.165400989257868</v>
      </c>
      <c r="E150" s="7" t="n">
        <f aca="false">Conteos!F150/Conteos!$D150</f>
        <v>0.413823179595613</v>
      </c>
      <c r="F150" s="7" t="n">
        <f aca="false">Conteos!G150/Conteos!$D150</f>
        <v>0.218904453548302</v>
      </c>
      <c r="G150" s="7" t="n">
        <f aca="false">Conteos!H150/Conteos!$D150</f>
        <v>0.0428939568426816</v>
      </c>
      <c r="H150" s="7" t="n">
        <f aca="false">Conteos!I150/Conteos!$D150</f>
        <v>0.069656308406804</v>
      </c>
      <c r="I150" s="7" t="n">
        <f aca="false">Conteos!J150/Conteos!$D150</f>
        <v>0.0642965696917065</v>
      </c>
      <c r="J150" s="7" t="n">
        <f aca="false">Conteos!K150/Conteos!$D150</f>
        <v>0.0222413109554645</v>
      </c>
      <c r="K150" s="7" t="n">
        <f aca="false">Conteos!L150/Conteos!$D150</f>
        <v>0.00125922709509336</v>
      </c>
      <c r="L150" s="7" t="n">
        <f aca="false">Conteos!M150/Conteos!$D150</f>
        <v>0.00152400460646793</v>
      </c>
      <c r="M150" s="7" t="n">
        <f aca="false">SUM(H150:L150)</f>
        <v>0.158977420755536</v>
      </c>
      <c r="N150" s="7" t="n">
        <f aca="false">SUM(I150:L150)</f>
        <v>0.0893211123487323</v>
      </c>
      <c r="O150" s="7" t="n">
        <f aca="false">SUM(G150:L150)</f>
        <v>0.201871377598218</v>
      </c>
      <c r="P150" s="7" t="n">
        <f aca="false">Conteos!N150/Conteos!D150</f>
        <v>0.573431157847043</v>
      </c>
    </row>
    <row r="151" customFormat="false" ht="15" hidden="false" customHeight="false" outlineLevel="0" collapsed="false">
      <c r="A151" s="4" t="str">
        <f aca="false">Conteos!A151</f>
        <v>63o</v>
      </c>
      <c r="B151" s="4" t="str">
        <f aca="false">Conteos!B151</f>
        <v>Offsuit</v>
      </c>
      <c r="C151" s="6" t="n">
        <f aca="false">Conteos!C151</f>
        <v>12</v>
      </c>
      <c r="D151" s="7" t="n">
        <f aca="false">Conteos!E151/Conteos!$D151</f>
        <v>0.185967263871321</v>
      </c>
      <c r="E151" s="7" t="n">
        <f aca="false">Conteos!F151/Conteos!$D151</f>
        <v>0.444365572315883</v>
      </c>
      <c r="F151" s="7" t="n">
        <f aca="false">Conteos!G151/Conteos!$D151</f>
        <v>0.225306311238649</v>
      </c>
      <c r="G151" s="7" t="n">
        <f aca="false">Conteos!H151/Conteos!$D151</f>
        <v>0.0440049840472729</v>
      </c>
      <c r="H151" s="7" t="n">
        <f aca="false">Conteos!I151/Conteos!$D151</f>
        <v>0.0571371934527743</v>
      </c>
      <c r="I151" s="7" t="n">
        <f aca="false">Conteos!J151/Conteos!$D151</f>
        <v>0.0195335951216749</v>
      </c>
      <c r="J151" s="7" t="n">
        <f aca="false">Conteos!K151/Conteos!$D151</f>
        <v>0.0222413109554645</v>
      </c>
      <c r="K151" s="7" t="n">
        <f aca="false">Conteos!L151/Conteos!$D151</f>
        <v>0.00125922709509336</v>
      </c>
      <c r="L151" s="7" t="n">
        <f aca="false">Conteos!M151/Conteos!$D151</f>
        <v>0.00018454190186713</v>
      </c>
      <c r="M151" s="7" t="n">
        <f aca="false">SUM(H151:L151)</f>
        <v>0.100355868526874</v>
      </c>
      <c r="N151" s="7" t="n">
        <f aca="false">SUM(I151:L151)</f>
        <v>0.0432186750740999</v>
      </c>
      <c r="O151" s="7" t="n">
        <f aca="false">SUM(G151:L151)</f>
        <v>0.144360852574147</v>
      </c>
      <c r="P151" s="7" t="n">
        <f aca="false">Conteos!N151/Conteos!D151</f>
        <v>0.529692367233665</v>
      </c>
    </row>
    <row r="152" customFormat="false" ht="15" hidden="false" customHeight="false" outlineLevel="0" collapsed="false">
      <c r="A152" s="4" t="str">
        <f aca="false">Conteos!A152</f>
        <v>63s</v>
      </c>
      <c r="B152" s="4" t="str">
        <f aca="false">Conteos!B152</f>
        <v>Suited</v>
      </c>
      <c r="C152" s="6" t="n">
        <f aca="false">Conteos!C152</f>
        <v>4</v>
      </c>
      <c r="D152" s="7" t="n">
        <f aca="false">Conteos!E152/Conteos!$D152</f>
        <v>0.17187883479016</v>
      </c>
      <c r="E152" s="7" t="n">
        <f aca="false">Conteos!F152/Conteos!$D152</f>
        <v>0.421910929033963</v>
      </c>
      <c r="F152" s="7" t="n">
        <f aca="false">Conteos!G152/Conteos!$D152</f>
        <v>0.220151881289056</v>
      </c>
      <c r="G152" s="7" t="n">
        <f aca="false">Conteos!H152/Conteos!$D152</f>
        <v>0.0431587343540561</v>
      </c>
      <c r="H152" s="7" t="n">
        <f aca="false">Conteos!I152/Conteos!$D152</f>
        <v>0.0535785081840322</v>
      </c>
      <c r="I152" s="7" t="n">
        <f aca="false">Conteos!J152/Conteos!$D152</f>
        <v>0.064763824123544</v>
      </c>
      <c r="J152" s="7" t="n">
        <f aca="false">Conteos!K152/Conteos!$D152</f>
        <v>0.0222413109554645</v>
      </c>
      <c r="K152" s="7" t="n">
        <f aca="false">Conteos!L152/Conteos!$D152</f>
        <v>0.00125922709509336</v>
      </c>
      <c r="L152" s="7" t="n">
        <f aca="false">Conteos!M152/Conteos!$D152</f>
        <v>0.00105675017463044</v>
      </c>
      <c r="M152" s="7" t="n">
        <f aca="false">SUM(H152:L152)</f>
        <v>0.142899620532764</v>
      </c>
      <c r="N152" s="7" t="n">
        <f aca="false">SUM(I152:L152)</f>
        <v>0.0893211123487323</v>
      </c>
      <c r="O152" s="7" t="n">
        <f aca="false">SUM(G152:L152)</f>
        <v>0.186058354886821</v>
      </c>
      <c r="P152" s="7" t="n">
        <f aca="false">Conteos!N152/Conteos!D152</f>
        <v>0.562616341633786</v>
      </c>
    </row>
    <row r="153" customFormat="false" ht="15" hidden="false" customHeight="false" outlineLevel="0" collapsed="false">
      <c r="A153" s="4" t="str">
        <f aca="false">Conteos!A153</f>
        <v>62o</v>
      </c>
      <c r="B153" s="4" t="str">
        <f aca="false">Conteos!B153</f>
        <v>Offsuit</v>
      </c>
      <c r="C153" s="6" t="n">
        <f aca="false">Conteos!C153</f>
        <v>12</v>
      </c>
      <c r="D153" s="7" t="n">
        <f aca="false">Conteos!E153/Conteos!$D153</f>
        <v>0.192976080348883</v>
      </c>
      <c r="E153" s="7" t="n">
        <f aca="false">Conteos!F153/Conteos!$D153</f>
        <v>0.452883762200532</v>
      </c>
      <c r="F153" s="7" t="n">
        <f aca="false">Conteos!G153/Conteos!$D153</f>
        <v>0.226585361249032</v>
      </c>
      <c r="G153" s="7" t="n">
        <f aca="false">Conteos!H153/Conteos!$D153</f>
        <v>0.0442749532745568</v>
      </c>
      <c r="H153" s="7" t="n">
        <f aca="false">Conteos!I153/Conteos!$D153</f>
        <v>0.0400611678528951</v>
      </c>
      <c r="I153" s="7" t="n">
        <f aca="false">Conteos!J153/Conteos!$D153</f>
        <v>0.0195543619853122</v>
      </c>
      <c r="J153" s="7" t="n">
        <f aca="false">Conteos!K153/Conteos!$D153</f>
        <v>0.0222413109554645</v>
      </c>
      <c r="K153" s="7" t="n">
        <f aca="false">Conteos!L153/Conteos!$D153</f>
        <v>0.00125922709509336</v>
      </c>
      <c r="L153" s="7" t="n">
        <f aca="false">Conteos!M153/Conteos!$D153</f>
        <v>0.000163775038229908</v>
      </c>
      <c r="M153" s="7" t="n">
        <f aca="false">SUM(H153:L153)</f>
        <v>0.083279842926995</v>
      </c>
      <c r="N153" s="7" t="n">
        <f aca="false">SUM(I153:L153)</f>
        <v>0.0432186750740999</v>
      </c>
      <c r="O153" s="7" t="n">
        <f aca="false">SUM(G153:L153)</f>
        <v>0.127554796201552</v>
      </c>
      <c r="P153" s="7" t="n">
        <f aca="false">Conteos!N153/Conteos!D153</f>
        <v>0.518019029998678</v>
      </c>
    </row>
    <row r="154" customFormat="false" ht="15" hidden="false" customHeight="false" outlineLevel="0" collapsed="false">
      <c r="A154" s="4" t="str">
        <f aca="false">Conteos!A154</f>
        <v>62s</v>
      </c>
      <c r="B154" s="4" t="str">
        <f aca="false">Conteos!B154</f>
        <v>Suited</v>
      </c>
      <c r="C154" s="6" t="n">
        <f aca="false">Conteos!C154</f>
        <v>4</v>
      </c>
      <c r="D154" s="7" t="n">
        <f aca="false">Conteos!E154/Conteos!$D154</f>
        <v>0.178356680322453</v>
      </c>
      <c r="E154" s="7" t="n">
        <f aca="false">Conteos!F154/Conteos!$D154</f>
        <v>0.429998678472314</v>
      </c>
      <c r="F154" s="7" t="n">
        <f aca="false">Conteos!G154/Conteos!$D154</f>
        <v>0.22139930902981</v>
      </c>
      <c r="G154" s="7" t="n">
        <f aca="false">Conteos!H154/Conteos!$D154</f>
        <v>0.0434235118654307</v>
      </c>
      <c r="H154" s="7" t="n">
        <f aca="false">Conteos!I154/Conteos!$D154</f>
        <v>0.0375007079612604</v>
      </c>
      <c r="I154" s="7" t="n">
        <f aca="false">Conteos!J154/Conteos!$D154</f>
        <v>0.0652310785553815</v>
      </c>
      <c r="J154" s="7" t="n">
        <f aca="false">Conteos!K154/Conteos!$D154</f>
        <v>0.0222413109554645</v>
      </c>
      <c r="K154" s="7" t="n">
        <f aca="false">Conteos!L154/Conteos!$D154</f>
        <v>0.00125922709509336</v>
      </c>
      <c r="L154" s="7" t="n">
        <f aca="false">Conteos!M154/Conteos!$D154</f>
        <v>0.000589495742792954</v>
      </c>
      <c r="M154" s="7" t="n">
        <f aca="false">SUM(H154:L154)</f>
        <v>0.126821820309993</v>
      </c>
      <c r="N154" s="7" t="n">
        <f aca="false">SUM(I154:L154)</f>
        <v>0.0893211123487323</v>
      </c>
      <c r="O154" s="7" t="n">
        <f aca="false">SUM(G154:L154)</f>
        <v>0.170245332175423</v>
      </c>
      <c r="P154" s="7" t="n">
        <f aca="false">Conteos!N154/Conteos!D154</f>
        <v>0.551801525420529</v>
      </c>
    </row>
    <row r="155" customFormat="false" ht="15" hidden="false" customHeight="false" outlineLevel="0" collapsed="false">
      <c r="A155" s="4" t="str">
        <f aca="false">Conteos!A155</f>
        <v>55</v>
      </c>
      <c r="B155" s="4" t="str">
        <f aca="false">Conteos!B155</f>
        <v>Pareja</v>
      </c>
      <c r="C155" s="6" t="n">
        <f aca="false">Conteos!C155</f>
        <v>6</v>
      </c>
      <c r="D155" s="7" t="n">
        <f aca="false">Conteos!E155/Conteos!$D155</f>
        <v>0</v>
      </c>
      <c r="E155" s="7" t="n">
        <f aca="false">Conteos!F155/Conteos!$D155</f>
        <v>0.351375332741792</v>
      </c>
      <c r="F155" s="7" t="n">
        <f aca="false">Conteos!G155/Conteos!$D155</f>
        <v>0.394532651173328</v>
      </c>
      <c r="G155" s="7" t="n">
        <f aca="false">Conteos!H155/Conteos!$D155</f>
        <v>0.117021276595745</v>
      </c>
      <c r="H155" s="7" t="n">
        <f aca="false">Conteos!I155/Conteos!$D155</f>
        <v>0.0234523966848534</v>
      </c>
      <c r="I155" s="7" t="n">
        <f aca="false">Conteos!J155/Conteos!$D155</f>
        <v>0.0194915894202269</v>
      </c>
      <c r="J155" s="7" t="n">
        <f aca="false">Conteos!K155/Conteos!$D155</f>
        <v>0.0854764107308048</v>
      </c>
      <c r="K155" s="7" t="n">
        <f aca="false">Conteos!L155/Conteos!$D155</f>
        <v>0.00842379504993487</v>
      </c>
      <c r="L155" s="7" t="n">
        <f aca="false">Conteos!M155/Conteos!$D155</f>
        <v>0.000226547603315147</v>
      </c>
      <c r="M155" s="7" t="n">
        <f aca="false">SUM(H155:L155)</f>
        <v>0.137070739489135</v>
      </c>
      <c r="N155" s="7" t="n">
        <f aca="false">SUM(I155:L155)</f>
        <v>0.113618342804282</v>
      </c>
      <c r="O155" s="7" t="n">
        <f aca="false">SUM(G155:L155)</f>
        <v>0.25409201608488</v>
      </c>
      <c r="P155" s="7" t="n">
        <f aca="false">Conteos!N155/Conteos!D155</f>
        <v>0.947928033378014</v>
      </c>
    </row>
    <row r="156" customFormat="false" ht="15" hidden="false" customHeight="false" outlineLevel="0" collapsed="false">
      <c r="A156" s="4" t="str">
        <f aca="false">Conteos!A156</f>
        <v>54o</v>
      </c>
      <c r="B156" s="4" t="str">
        <f aca="false">Conteos!B156</f>
        <v>Offsuit</v>
      </c>
      <c r="C156" s="6" t="n">
        <f aca="false">Conteos!C156</f>
        <v>12</v>
      </c>
      <c r="D156" s="7" t="n">
        <f aca="false">Conteos!E156/Conteos!$D156</f>
        <v>0.171482376484359</v>
      </c>
      <c r="E156" s="7" t="n">
        <f aca="false">Conteos!F156/Conteos!$D156</f>
        <v>0.427329192546584</v>
      </c>
      <c r="F156" s="7" t="n">
        <f aca="false">Conteos!G156/Conteos!$D156</f>
        <v>0.222748211217882</v>
      </c>
      <c r="G156" s="7" t="n">
        <f aca="false">Conteos!H156/Conteos!$D156</f>
        <v>0.0434650455927052</v>
      </c>
      <c r="H156" s="7" t="n">
        <f aca="false">Conteos!I156/Conteos!$D156</f>
        <v>0.0917564990843701</v>
      </c>
      <c r="I156" s="7" t="n">
        <f aca="false">Conteos!J156/Conteos!$D156</f>
        <v>0.0195123562838641</v>
      </c>
      <c r="J156" s="7" t="n">
        <f aca="false">Conteos!K156/Conteos!$D156</f>
        <v>0.0222413109554645</v>
      </c>
      <c r="K156" s="7" t="n">
        <f aca="false">Conteos!L156/Conteos!$D156</f>
        <v>0.00125922709509336</v>
      </c>
      <c r="L156" s="7" t="n">
        <f aca="false">Conteos!M156/Conteos!$D156</f>
        <v>0.000205780739677925</v>
      </c>
      <c r="M156" s="7" t="n">
        <f aca="false">SUM(H156:L156)</f>
        <v>0.13497517415847</v>
      </c>
      <c r="N156" s="7" t="n">
        <f aca="false">SUM(I156:L156)</f>
        <v>0.0432186750740999</v>
      </c>
      <c r="O156" s="7" t="n">
        <f aca="false">SUM(G156:L156)</f>
        <v>0.178440219751175</v>
      </c>
      <c r="P156" s="7" t="n">
        <f aca="false">Conteos!N156/Conteos!D156</f>
        <v>0.553389246540429</v>
      </c>
    </row>
    <row r="157" customFormat="false" ht="15" hidden="false" customHeight="false" outlineLevel="0" collapsed="false">
      <c r="A157" s="4" t="str">
        <f aca="false">Conteos!A157</f>
        <v>54s</v>
      </c>
      <c r="B157" s="4" t="str">
        <f aca="false">Conteos!B157</f>
        <v>Suited</v>
      </c>
      <c r="C157" s="6" t="n">
        <f aca="false">Conteos!C157</f>
        <v>4</v>
      </c>
      <c r="D157" s="7" t="n">
        <f aca="false">Conteos!E157/Conteos!$D157</f>
        <v>0.158491287356756</v>
      </c>
      <c r="E157" s="7" t="n">
        <f aca="false">Conteos!F157/Conteos!$D157</f>
        <v>0.405735430157262</v>
      </c>
      <c r="F157" s="7" t="n">
        <f aca="false">Conteos!G157/Conteos!$D157</f>
        <v>0.217657025807548</v>
      </c>
      <c r="G157" s="7" t="n">
        <f aca="false">Conteos!H157/Conteos!$D157</f>
        <v>0.042629179331307</v>
      </c>
      <c r="H157" s="7" t="n">
        <f aca="false">Conteos!I157/Conteos!$D157</f>
        <v>0.0861659649983953</v>
      </c>
      <c r="I157" s="7" t="n">
        <f aca="false">Conteos!J157/Conteos!$D157</f>
        <v>0.0638288432856954</v>
      </c>
      <c r="J157" s="7" t="n">
        <f aca="false">Conteos!K157/Conteos!$D157</f>
        <v>0.0222413109554645</v>
      </c>
      <c r="K157" s="7" t="n">
        <f aca="false">Conteos!L157/Conteos!$D157</f>
        <v>0.00125922709509336</v>
      </c>
      <c r="L157" s="7" t="n">
        <f aca="false">Conteos!M157/Conteos!$D157</f>
        <v>0.001991731012479</v>
      </c>
      <c r="M157" s="7" t="n">
        <f aca="false">SUM(H157:L157)</f>
        <v>0.175487077347128</v>
      </c>
      <c r="N157" s="7" t="n">
        <f aca="false">SUM(I157:L157)</f>
        <v>0.0893211123487323</v>
      </c>
      <c r="O157" s="7" t="n">
        <f aca="false">SUM(G157:L157)</f>
        <v>0.218116256678435</v>
      </c>
      <c r="P157" s="7" t="n">
        <f aca="false">Conteos!N157/Conteos!D157</f>
        <v>0.584588627310314</v>
      </c>
    </row>
    <row r="158" customFormat="false" ht="15" hidden="false" customHeight="false" outlineLevel="0" collapsed="false">
      <c r="A158" s="4" t="str">
        <f aca="false">Conteos!A158</f>
        <v>53o</v>
      </c>
      <c r="B158" s="4" t="str">
        <f aca="false">Conteos!B158</f>
        <v>Offsuit</v>
      </c>
      <c r="C158" s="6" t="n">
        <f aca="false">Conteos!C158</f>
        <v>12</v>
      </c>
      <c r="D158" s="7" t="n">
        <f aca="false">Conteos!E158/Conteos!$D158</f>
        <v>0.178491192961921</v>
      </c>
      <c r="E158" s="7" t="n">
        <f aca="false">Conteos!F158/Conteos!$D158</f>
        <v>0.435847382431233</v>
      </c>
      <c r="F158" s="7" t="n">
        <f aca="false">Conteos!G158/Conteos!$D158</f>
        <v>0.224027261228266</v>
      </c>
      <c r="G158" s="7" t="n">
        <f aca="false">Conteos!H158/Conteos!$D158</f>
        <v>0.0437350148199891</v>
      </c>
      <c r="H158" s="7" t="n">
        <f aca="false">Conteos!I158/Conteos!$D158</f>
        <v>0.0746804734844909</v>
      </c>
      <c r="I158" s="7" t="n">
        <f aca="false">Conteos!J158/Conteos!$D158</f>
        <v>0.0195331231475014</v>
      </c>
      <c r="J158" s="7" t="n">
        <f aca="false">Conteos!K158/Conteos!$D158</f>
        <v>0.0222413109554645</v>
      </c>
      <c r="K158" s="7" t="n">
        <f aca="false">Conteos!L158/Conteos!$D158</f>
        <v>0.00125922709509336</v>
      </c>
      <c r="L158" s="7" t="n">
        <f aca="false">Conteos!M158/Conteos!$D158</f>
        <v>0.000185013876040703</v>
      </c>
      <c r="M158" s="7" t="n">
        <f aca="false">SUM(H158:L158)</f>
        <v>0.117899148558591</v>
      </c>
      <c r="N158" s="7" t="n">
        <f aca="false">SUM(I158:L158)</f>
        <v>0.0432186750740999</v>
      </c>
      <c r="O158" s="7" t="n">
        <f aca="false">SUM(G158:L158)</f>
        <v>0.16163416337858</v>
      </c>
      <c r="P158" s="7" t="n">
        <f aca="false">Conteos!N158/Conteos!D158</f>
        <v>0.541715909305443</v>
      </c>
    </row>
    <row r="159" customFormat="false" ht="15" hidden="false" customHeight="false" outlineLevel="0" collapsed="false">
      <c r="A159" s="4" t="str">
        <f aca="false">Conteos!A159</f>
        <v>53s</v>
      </c>
      <c r="B159" s="4" t="str">
        <f aca="false">Conteos!B159</f>
        <v>Suited</v>
      </c>
      <c r="C159" s="6" t="n">
        <f aca="false">Conteos!C159</f>
        <v>4</v>
      </c>
      <c r="D159" s="7" t="n">
        <f aca="false">Conteos!E159/Conteos!$D159</f>
        <v>0.164969132889048</v>
      </c>
      <c r="E159" s="7" t="n">
        <f aca="false">Conteos!F159/Conteos!$D159</f>
        <v>0.413823179595613</v>
      </c>
      <c r="F159" s="7" t="n">
        <f aca="false">Conteos!G159/Conteos!$D159</f>
        <v>0.218904453548302</v>
      </c>
      <c r="G159" s="7" t="n">
        <f aca="false">Conteos!H159/Conteos!$D159</f>
        <v>0.0428939568426816</v>
      </c>
      <c r="H159" s="7" t="n">
        <f aca="false">Conteos!I159/Conteos!$D159</f>
        <v>0.0700881647756235</v>
      </c>
      <c r="I159" s="7" t="n">
        <f aca="false">Conteos!J159/Conteos!$D159</f>
        <v>0.0642960977175329</v>
      </c>
      <c r="J159" s="7" t="n">
        <f aca="false">Conteos!K159/Conteos!$D159</f>
        <v>0.0222413109554645</v>
      </c>
      <c r="K159" s="7" t="n">
        <f aca="false">Conteos!L159/Conteos!$D159</f>
        <v>0.00125922709509336</v>
      </c>
      <c r="L159" s="7" t="n">
        <f aca="false">Conteos!M159/Conteos!$D159</f>
        <v>0.00152447658064151</v>
      </c>
      <c r="M159" s="7" t="n">
        <f aca="false">SUM(H159:L159)</f>
        <v>0.159409277124356</v>
      </c>
      <c r="N159" s="7" t="n">
        <f aca="false">SUM(I159:L159)</f>
        <v>0.0893211123487323</v>
      </c>
      <c r="O159" s="7" t="n">
        <f aca="false">SUM(G159:L159)</f>
        <v>0.202303233967037</v>
      </c>
      <c r="P159" s="7" t="n">
        <f aca="false">Conteos!N159/Conteos!D159</f>
        <v>0.573773811097057</v>
      </c>
    </row>
    <row r="160" customFormat="false" ht="15" hidden="false" customHeight="false" outlineLevel="0" collapsed="false">
      <c r="A160" s="4" t="str">
        <f aca="false">Conteos!A160</f>
        <v>52o</v>
      </c>
      <c r="B160" s="4" t="str">
        <f aca="false">Conteos!B160</f>
        <v>Offsuit</v>
      </c>
      <c r="C160" s="6" t="n">
        <f aca="false">Conteos!C160</f>
        <v>12</v>
      </c>
      <c r="D160" s="7" t="n">
        <f aca="false">Conteos!E160/Conteos!$D160</f>
        <v>0.185500009439483</v>
      </c>
      <c r="E160" s="7" t="n">
        <f aca="false">Conteos!F160/Conteos!$D160</f>
        <v>0.444365572315883</v>
      </c>
      <c r="F160" s="7" t="n">
        <f aca="false">Conteos!G160/Conteos!$D160</f>
        <v>0.225306311238649</v>
      </c>
      <c r="G160" s="7" t="n">
        <f aca="false">Conteos!H160/Conteos!$D160</f>
        <v>0.0440049840472729</v>
      </c>
      <c r="H160" s="7" t="n">
        <f aca="false">Conteos!I160/Conteos!$D160</f>
        <v>0.0576044478846118</v>
      </c>
      <c r="I160" s="7" t="n">
        <f aca="false">Conteos!J160/Conteos!$D160</f>
        <v>0.0195538900111386</v>
      </c>
      <c r="J160" s="7" t="n">
        <f aca="false">Conteos!K160/Conteos!$D160</f>
        <v>0.0222413109554645</v>
      </c>
      <c r="K160" s="7" t="n">
        <f aca="false">Conteos!L160/Conteos!$D160</f>
        <v>0.00125922709509336</v>
      </c>
      <c r="L160" s="7" t="n">
        <f aca="false">Conteos!M160/Conteos!$D160</f>
        <v>0.000164247012403481</v>
      </c>
      <c r="M160" s="7" t="n">
        <f aca="false">SUM(H160:L160)</f>
        <v>0.100823122958712</v>
      </c>
      <c r="N160" s="7" t="n">
        <f aca="false">SUM(I160:L160)</f>
        <v>0.0432186750740999</v>
      </c>
      <c r="O160" s="7" t="n">
        <f aca="false">SUM(G160:L160)</f>
        <v>0.144828107005985</v>
      </c>
      <c r="P160" s="7" t="n">
        <f aca="false">Conteos!N160/Conteos!D160</f>
        <v>0.530042572070456</v>
      </c>
    </row>
    <row r="161" customFormat="false" ht="15" hidden="false" customHeight="false" outlineLevel="0" collapsed="false">
      <c r="A161" s="4" t="str">
        <f aca="false">Conteos!A161</f>
        <v>52s</v>
      </c>
      <c r="B161" s="4" t="str">
        <f aca="false">Conteos!B161</f>
        <v>Suited</v>
      </c>
      <c r="C161" s="6" t="n">
        <f aca="false">Conteos!C161</f>
        <v>4</v>
      </c>
      <c r="D161" s="7" t="n">
        <f aca="false">Conteos!E161/Conteos!$D161</f>
        <v>0.171446978421341</v>
      </c>
      <c r="E161" s="7" t="n">
        <f aca="false">Conteos!F161/Conteos!$D161</f>
        <v>0.421910929033963</v>
      </c>
      <c r="F161" s="7" t="n">
        <f aca="false">Conteos!G161/Conteos!$D161</f>
        <v>0.220151881289056</v>
      </c>
      <c r="G161" s="7" t="n">
        <f aca="false">Conteos!H161/Conteos!$D161</f>
        <v>0.0431587343540561</v>
      </c>
      <c r="H161" s="7" t="n">
        <f aca="false">Conteos!I161/Conteos!$D161</f>
        <v>0.0540103645528517</v>
      </c>
      <c r="I161" s="7" t="n">
        <f aca="false">Conteos!J161/Conteos!$D161</f>
        <v>0.0647633521493704</v>
      </c>
      <c r="J161" s="7" t="n">
        <f aca="false">Conteos!K161/Conteos!$D161</f>
        <v>0.0222413109554645</v>
      </c>
      <c r="K161" s="7" t="n">
        <f aca="false">Conteos!L161/Conteos!$D161</f>
        <v>0.00125922709509336</v>
      </c>
      <c r="L161" s="7" t="n">
        <f aca="false">Conteos!M161/Conteos!$D161</f>
        <v>0.00105722214880402</v>
      </c>
      <c r="M161" s="7" t="n">
        <f aca="false">SUM(H161:L161)</f>
        <v>0.143331476901584</v>
      </c>
      <c r="N161" s="7" t="n">
        <f aca="false">SUM(I161:L161)</f>
        <v>0.0893211123487323</v>
      </c>
      <c r="O161" s="7" t="n">
        <f aca="false">SUM(G161:L161)</f>
        <v>0.18649021125564</v>
      </c>
      <c r="P161" s="7" t="n">
        <f aca="false">Conteos!N161/Conteos!D161</f>
        <v>0.5629589948838</v>
      </c>
    </row>
    <row r="162" customFormat="false" ht="15" hidden="false" customHeight="false" outlineLevel="0" collapsed="false">
      <c r="A162" s="4" t="str">
        <f aca="false">Conteos!A162</f>
        <v>44</v>
      </c>
      <c r="B162" s="4" t="str">
        <f aca="false">Conteos!B162</f>
        <v>Pareja</v>
      </c>
      <c r="C162" s="6" t="n">
        <f aca="false">Conteos!C162</f>
        <v>6</v>
      </c>
      <c r="D162" s="7" t="n">
        <f aca="false">Conteos!E162/Conteos!$D162</f>
        <v>0</v>
      </c>
      <c r="E162" s="7" t="n">
        <f aca="false">Conteos!F162/Conteos!$D162</f>
        <v>0.354178859332817</v>
      </c>
      <c r="F162" s="7" t="n">
        <f aca="false">Conteos!G162/Conteos!$D162</f>
        <v>0.395246276123771</v>
      </c>
      <c r="G162" s="7" t="n">
        <f aca="false">Conteos!H162/Conteos!$D162</f>
        <v>0.117260095527573</v>
      </c>
      <c r="H162" s="7" t="n">
        <f aca="false">Conteos!I162/Conteos!$D162</f>
        <v>0.0196964262115577</v>
      </c>
      <c r="I162" s="7" t="n">
        <f aca="false">Conteos!J162/Conteos!$D162</f>
        <v>0.0195331231475014</v>
      </c>
      <c r="J162" s="7" t="n">
        <f aca="false">Conteos!K162/Conteos!$D162</f>
        <v>0.0854764107308048</v>
      </c>
      <c r="K162" s="7" t="n">
        <f aca="false">Conteos!L162/Conteos!$D162</f>
        <v>0.00842379504993487</v>
      </c>
      <c r="L162" s="7" t="n">
        <f aca="false">Conteos!M162/Conteos!$D162</f>
        <v>0.000185013876040703</v>
      </c>
      <c r="M162" s="7" t="n">
        <f aca="false">SUM(H162:L162)</f>
        <v>0.133314769015839</v>
      </c>
      <c r="N162" s="7" t="n">
        <f aca="false">SUM(I162:L162)</f>
        <v>0.113618342804282</v>
      </c>
      <c r="O162" s="7" t="n">
        <f aca="false">SUM(G162:L162)</f>
        <v>0.250574864543412</v>
      </c>
      <c r="P162" s="7" t="n">
        <f aca="false">Conteos!N162/Conteos!D162</f>
        <v>0.947692990239574</v>
      </c>
    </row>
    <row r="163" customFormat="false" ht="15" hidden="false" customHeight="false" outlineLevel="0" collapsed="false">
      <c r="A163" s="4" t="str">
        <f aca="false">Conteos!A163</f>
        <v>43o</v>
      </c>
      <c r="B163" s="4" t="str">
        <f aca="false">Conteos!B163</f>
        <v>Offsuit</v>
      </c>
      <c r="C163" s="6" t="n">
        <f aca="false">Conteos!C163</f>
        <v>12</v>
      </c>
      <c r="D163" s="7" t="n">
        <f aca="false">Conteos!E163/Conteos!$D163</f>
        <v>0.180827465121109</v>
      </c>
      <c r="E163" s="7" t="n">
        <f aca="false">Conteos!F163/Conteos!$D163</f>
        <v>0.437267080745342</v>
      </c>
      <c r="F163" s="7" t="n">
        <f aca="false">Conteos!G163/Conteos!$D163</f>
        <v>0.224027261228266</v>
      </c>
      <c r="G163" s="7" t="n">
        <f aca="false">Conteos!H163/Conteos!$D163</f>
        <v>0.0437350148199891</v>
      </c>
      <c r="H163" s="7" t="n">
        <f aca="false">Conteos!I163/Conteos!$D163</f>
        <v>0.0709245030111952</v>
      </c>
      <c r="I163" s="7" t="n">
        <f aca="false">Conteos!J163/Conteos!$D163</f>
        <v>0.0195538900111386</v>
      </c>
      <c r="J163" s="7" t="n">
        <f aca="false">Conteos!K163/Conteos!$D163</f>
        <v>0.0222413109554645</v>
      </c>
      <c r="K163" s="7" t="n">
        <f aca="false">Conteos!L163/Conteos!$D163</f>
        <v>0.00125922709509336</v>
      </c>
      <c r="L163" s="7" t="n">
        <f aca="false">Conteos!M163/Conteos!$D163</f>
        <v>0.000164247012403481</v>
      </c>
      <c r="M163" s="7" t="n">
        <f aca="false">SUM(H163:L163)</f>
        <v>0.114143178085295</v>
      </c>
      <c r="N163" s="7" t="n">
        <f aca="false">SUM(I163:L163)</f>
        <v>0.0432186750740999</v>
      </c>
      <c r="O163" s="7" t="n">
        <f aca="false">SUM(G163:L163)</f>
        <v>0.157878192905284</v>
      </c>
      <c r="P163" s="7" t="n">
        <f aca="false">Conteos!N163/Conteos!D163</f>
        <v>0.538548490626593</v>
      </c>
    </row>
    <row r="164" customFormat="false" ht="15" hidden="false" customHeight="false" outlineLevel="0" collapsed="false">
      <c r="A164" s="4" t="str">
        <f aca="false">Conteos!A164</f>
        <v>43s</v>
      </c>
      <c r="B164" s="4" t="str">
        <f aca="false">Conteos!B164</f>
        <v>Suited</v>
      </c>
      <c r="C164" s="6" t="n">
        <f aca="false">Conteos!C164</f>
        <v>4</v>
      </c>
      <c r="D164" s="7" t="n">
        <f aca="false">Conteos!E164/Conteos!$D164</f>
        <v>0.167128414733146</v>
      </c>
      <c r="E164" s="7" t="n">
        <f aca="false">Conteos!F164/Conteos!$D164</f>
        <v>0.415171137835338</v>
      </c>
      <c r="F164" s="7" t="n">
        <f aca="false">Conteos!G164/Conteos!$D164</f>
        <v>0.218904453548302</v>
      </c>
      <c r="G164" s="7" t="n">
        <f aca="false">Conteos!H164/Conteos!$D164</f>
        <v>0.0428939568426816</v>
      </c>
      <c r="H164" s="7" t="n">
        <f aca="false">Conteos!I164/Conteos!$D164</f>
        <v>0.0665809246918009</v>
      </c>
      <c r="I164" s="7" t="n">
        <f aca="false">Conteos!J164/Conteos!$D164</f>
        <v>0.0643168645811701</v>
      </c>
      <c r="J164" s="7" t="n">
        <f aca="false">Conteos!K164/Conteos!$D164</f>
        <v>0.0222413109554645</v>
      </c>
      <c r="K164" s="7" t="n">
        <f aca="false">Conteos!L164/Conteos!$D164</f>
        <v>0.00125922709509336</v>
      </c>
      <c r="L164" s="7" t="n">
        <f aca="false">Conteos!M164/Conteos!$D164</f>
        <v>0.00150370971700429</v>
      </c>
      <c r="M164" s="7" t="n">
        <f aca="false">SUM(H164:L164)</f>
        <v>0.155902037040533</v>
      </c>
      <c r="N164" s="7" t="n">
        <f aca="false">SUM(I164:L164)</f>
        <v>0.0893211123487323</v>
      </c>
      <c r="O164" s="7" t="n">
        <f aca="false">SUM(G164:L164)</f>
        <v>0.198795993883215</v>
      </c>
      <c r="P164" s="7" t="n">
        <f aca="false">Conteos!N164/Conteos!D164</f>
        <v>0.570859842549416</v>
      </c>
    </row>
    <row r="165" customFormat="false" ht="15" hidden="false" customHeight="false" outlineLevel="0" collapsed="false">
      <c r="A165" s="4" t="str">
        <f aca="false">Conteos!A165</f>
        <v>42o</v>
      </c>
      <c r="B165" s="4" t="str">
        <f aca="false">Conteos!B165</f>
        <v>Offsuit</v>
      </c>
      <c r="C165" s="6" t="n">
        <f aca="false">Conteos!C165</f>
        <v>12</v>
      </c>
      <c r="D165" s="7" t="n">
        <f aca="false">Conteos!E165/Conteos!$D165</f>
        <v>0.187836281598671</v>
      </c>
      <c r="E165" s="7" t="n">
        <f aca="false">Conteos!F165/Conteos!$D165</f>
        <v>0.445785270629991</v>
      </c>
      <c r="F165" s="7" t="n">
        <f aca="false">Conteos!G165/Conteos!$D165</f>
        <v>0.225306311238649</v>
      </c>
      <c r="G165" s="7" t="n">
        <f aca="false">Conteos!H165/Conteos!$D165</f>
        <v>0.0440049840472729</v>
      </c>
      <c r="H165" s="7" t="n">
        <f aca="false">Conteos!I165/Conteos!$D165</f>
        <v>0.0538484774113161</v>
      </c>
      <c r="I165" s="7" t="n">
        <f aca="false">Conteos!J165/Conteos!$D165</f>
        <v>0.0195746568747758</v>
      </c>
      <c r="J165" s="7" t="n">
        <f aca="false">Conteos!K165/Conteos!$D165</f>
        <v>0.0222413109554645</v>
      </c>
      <c r="K165" s="7" t="n">
        <f aca="false">Conteos!L165/Conteos!$D165</f>
        <v>0.00125922709509336</v>
      </c>
      <c r="L165" s="7" t="n">
        <f aca="false">Conteos!M165/Conteos!$D165</f>
        <v>0.00014348014876626</v>
      </c>
      <c r="M165" s="7" t="n">
        <f aca="false">SUM(H165:L165)</f>
        <v>0.097067152485416</v>
      </c>
      <c r="N165" s="7" t="n">
        <f aca="false">SUM(I165:L165)</f>
        <v>0.0432186750740999</v>
      </c>
      <c r="O165" s="7" t="n">
        <f aca="false">SUM(G165:L165)</f>
        <v>0.141072136532689</v>
      </c>
      <c r="P165" s="7" t="n">
        <f aca="false">Conteos!N165/Conteos!D165</f>
        <v>0.526875153391606</v>
      </c>
    </row>
    <row r="166" customFormat="false" ht="15" hidden="false" customHeight="false" outlineLevel="0" collapsed="false">
      <c r="A166" s="4" t="str">
        <f aca="false">Conteos!A166</f>
        <v>42s</v>
      </c>
      <c r="B166" s="4" t="str">
        <f aca="false">Conteos!B166</f>
        <v>Suited</v>
      </c>
      <c r="C166" s="6" t="n">
        <f aca="false">Conteos!C166</f>
        <v>4</v>
      </c>
      <c r="D166" s="7" t="n">
        <f aca="false">Conteos!E166/Conteos!$D166</f>
        <v>0.173606260265438</v>
      </c>
      <c r="E166" s="7" t="n">
        <f aca="false">Conteos!F166/Conteos!$D166</f>
        <v>0.423258887273688</v>
      </c>
      <c r="F166" s="7" t="n">
        <f aca="false">Conteos!G166/Conteos!$D166</f>
        <v>0.220151881289056</v>
      </c>
      <c r="G166" s="7" t="n">
        <f aca="false">Conteos!H166/Conteos!$D166</f>
        <v>0.0431587343540561</v>
      </c>
      <c r="H166" s="7" t="n">
        <f aca="false">Conteos!I166/Conteos!$D166</f>
        <v>0.0505031244690291</v>
      </c>
      <c r="I166" s="7" t="n">
        <f aca="false">Conteos!J166/Conteos!$D166</f>
        <v>0.0647841190130076</v>
      </c>
      <c r="J166" s="7" t="n">
        <f aca="false">Conteos!K166/Conteos!$D166</f>
        <v>0.0222413109554645</v>
      </c>
      <c r="K166" s="7" t="n">
        <f aca="false">Conteos!L166/Conteos!$D166</f>
        <v>0.00125922709509336</v>
      </c>
      <c r="L166" s="7" t="n">
        <f aca="false">Conteos!M166/Conteos!$D166</f>
        <v>0.0010364552851668</v>
      </c>
      <c r="M166" s="7" t="n">
        <f aca="false">SUM(H166:L166)</f>
        <v>0.139824236817761</v>
      </c>
      <c r="N166" s="7" t="n">
        <f aca="false">SUM(I166:L166)</f>
        <v>0.0893211123487323</v>
      </c>
      <c r="O166" s="7" t="n">
        <f aca="false">SUM(G166:L166)</f>
        <v>0.182982971171817</v>
      </c>
      <c r="P166" s="7" t="n">
        <f aca="false">Conteos!N166/Conteos!D166</f>
        <v>0.560045026336159</v>
      </c>
    </row>
    <row r="167" customFormat="false" ht="15" hidden="false" customHeight="false" outlineLevel="0" collapsed="false">
      <c r="A167" s="4" t="str">
        <f aca="false">Conteos!A167</f>
        <v>33</v>
      </c>
      <c r="B167" s="4" t="str">
        <f aca="false">Conteos!B167</f>
        <v>Pareja</v>
      </c>
      <c r="C167" s="6" t="n">
        <f aca="false">Conteos!C167</f>
        <v>6</v>
      </c>
      <c r="D167" s="7" t="n">
        <f aca="false">Conteos!E167/Conteos!$D167</f>
        <v>0</v>
      </c>
      <c r="E167" s="7" t="n">
        <f aca="false">Conteos!F167/Conteos!$D167</f>
        <v>0.356982385923842</v>
      </c>
      <c r="F167" s="7" t="n">
        <f aca="false">Conteos!G167/Conteos!$D167</f>
        <v>0.395959901074213</v>
      </c>
      <c r="G167" s="7" t="n">
        <f aca="false">Conteos!H167/Conteos!$D167</f>
        <v>0.117498914459401</v>
      </c>
      <c r="H167" s="7" t="n">
        <f aca="false">Conteos!I167/Conteos!$D167</f>
        <v>0.015940455738262</v>
      </c>
      <c r="I167" s="7" t="n">
        <f aca="false">Conteos!J167/Conteos!$D167</f>
        <v>0.0195746568747758</v>
      </c>
      <c r="J167" s="7" t="n">
        <f aca="false">Conteos!K167/Conteos!$D167</f>
        <v>0.0854764107308048</v>
      </c>
      <c r="K167" s="7" t="n">
        <f aca="false">Conteos!L167/Conteos!$D167</f>
        <v>0.00842379504993487</v>
      </c>
      <c r="L167" s="7" t="n">
        <f aca="false">Conteos!M167/Conteos!$D167</f>
        <v>0.00014348014876626</v>
      </c>
      <c r="M167" s="7" t="n">
        <f aca="false">SUM(H167:L167)</f>
        <v>0.129558798542544</v>
      </c>
      <c r="N167" s="7" t="n">
        <f aca="false">SUM(I167:L167)</f>
        <v>0.113618342804282</v>
      </c>
      <c r="O167" s="7" t="n">
        <f aca="false">SUM(G167:L167)</f>
        <v>0.247057713001945</v>
      </c>
      <c r="P167" s="7" t="n">
        <f aca="false">Conteos!N167/Conteos!D167</f>
        <v>0.947457947101135</v>
      </c>
    </row>
    <row r="168" customFormat="false" ht="15" hidden="false" customHeight="false" outlineLevel="0" collapsed="false">
      <c r="A168" s="4" t="str">
        <f aca="false">Conteos!A168</f>
        <v>32o</v>
      </c>
      <c r="B168" s="4" t="str">
        <f aca="false">Conteos!B168</f>
        <v>Offsuit</v>
      </c>
      <c r="C168" s="6" t="n">
        <f aca="false">Conteos!C168</f>
        <v>12</v>
      </c>
      <c r="D168" s="7" t="n">
        <f aca="false">Conteos!E168/Conteos!$D168</f>
        <v>0.190172553757858</v>
      </c>
      <c r="E168" s="7" t="n">
        <f aca="false">Conteos!F168/Conteos!$D168</f>
        <v>0.447204968944099</v>
      </c>
      <c r="F168" s="7" t="n">
        <f aca="false">Conteos!G168/Conteos!$D168</f>
        <v>0.225306311238649</v>
      </c>
      <c r="G168" s="7" t="n">
        <f aca="false">Conteos!H168/Conteos!$D168</f>
        <v>0.0440049840472729</v>
      </c>
      <c r="H168" s="7" t="n">
        <f aca="false">Conteos!I168/Conteos!$D168</f>
        <v>0.0500925069380204</v>
      </c>
      <c r="I168" s="7" t="n">
        <f aca="false">Conteos!J168/Conteos!$D168</f>
        <v>0.019595423738413</v>
      </c>
      <c r="J168" s="7" t="n">
        <f aca="false">Conteos!K168/Conteos!$D168</f>
        <v>0.0222413109554645</v>
      </c>
      <c r="K168" s="7" t="n">
        <f aca="false">Conteos!L168/Conteos!$D168</f>
        <v>0.00125922709509336</v>
      </c>
      <c r="L168" s="7" t="n">
        <f aca="false">Conteos!M168/Conteos!$D168</f>
        <v>0.000122713285129038</v>
      </c>
      <c r="M168" s="7" t="n">
        <f aca="false">SUM(H168:L168)</f>
        <v>0.0933111820121203</v>
      </c>
      <c r="N168" s="7" t="n">
        <f aca="false">SUM(I168:L168)</f>
        <v>0.0432186750740999</v>
      </c>
      <c r="O168" s="7" t="n">
        <f aca="false">SUM(G168:L168)</f>
        <v>0.137316166059393</v>
      </c>
      <c r="P168" s="7" t="n">
        <f aca="false">Conteos!N168/Conteos!D168</f>
        <v>0.523707734712757</v>
      </c>
    </row>
    <row r="169" customFormat="false" ht="15" hidden="false" customHeight="false" outlineLevel="0" collapsed="false">
      <c r="A169" s="4" t="str">
        <f aca="false">Conteos!A169</f>
        <v>32s</v>
      </c>
      <c r="B169" s="4" t="str">
        <f aca="false">Conteos!B169</f>
        <v>Suited</v>
      </c>
      <c r="C169" s="6" t="n">
        <f aca="false">Conteos!C169</f>
        <v>4</v>
      </c>
      <c r="D169" s="7" t="n">
        <f aca="false">Conteos!E169/Conteos!$D169</f>
        <v>0.175765542109536</v>
      </c>
      <c r="E169" s="7" t="n">
        <f aca="false">Conteos!F169/Conteos!$D169</f>
        <v>0.424606845513414</v>
      </c>
      <c r="F169" s="7" t="n">
        <f aca="false">Conteos!G169/Conteos!$D169</f>
        <v>0.220151881289056</v>
      </c>
      <c r="G169" s="7" t="n">
        <f aca="false">Conteos!H169/Conteos!$D169</f>
        <v>0.0431587343540561</v>
      </c>
      <c r="H169" s="7" t="n">
        <f aca="false">Conteos!I169/Conteos!$D169</f>
        <v>0.0469958843852064</v>
      </c>
      <c r="I169" s="7" t="n">
        <f aca="false">Conteos!J169/Conteos!$D169</f>
        <v>0.0648048858766448</v>
      </c>
      <c r="J169" s="7" t="n">
        <f aca="false">Conteos!K169/Conteos!$D169</f>
        <v>0.0222413109554645</v>
      </c>
      <c r="K169" s="7" t="n">
        <f aca="false">Conteos!L169/Conteos!$D169</f>
        <v>0.00125922709509336</v>
      </c>
      <c r="L169" s="7" t="n">
        <f aca="false">Conteos!M169/Conteos!$D169</f>
        <v>0.00101568842152957</v>
      </c>
      <c r="M169" s="7" t="n">
        <f aca="false">SUM(H169:L169)</f>
        <v>0.136316996733939</v>
      </c>
      <c r="N169" s="7" t="n">
        <f aca="false">SUM(I169:L169)</f>
        <v>0.0893211123487323</v>
      </c>
      <c r="O169" s="7" t="n">
        <f aca="false">SUM(G169:L169)</f>
        <v>0.179475731087995</v>
      </c>
      <c r="P169" s="7" t="n">
        <f aca="false">Conteos!N169/Conteos!D169</f>
        <v>0.557131057788518</v>
      </c>
    </row>
    <row r="170" customFormat="false" ht="15" hidden="false" customHeight="false" outlineLevel="0" collapsed="false">
      <c r="A170" s="4" t="str">
        <f aca="false">Conteos!A170</f>
        <v>22</v>
      </c>
      <c r="B170" s="4" t="str">
        <f aca="false">Conteos!B170</f>
        <v>Pareja</v>
      </c>
      <c r="C170" s="6" t="n">
        <f aca="false">Conteos!C170</f>
        <v>6</v>
      </c>
      <c r="D170" s="7" t="n">
        <f aca="false">Conteos!E170/Conteos!$D170</f>
        <v>0</v>
      </c>
      <c r="E170" s="7" t="n">
        <f aca="false">Conteos!F170/Conteos!$D170</f>
        <v>0.359785912514867</v>
      </c>
      <c r="F170" s="7" t="n">
        <f aca="false">Conteos!G170/Conteos!$D170</f>
        <v>0.396673526024656</v>
      </c>
      <c r="G170" s="7" t="n">
        <f aca="false">Conteos!H170/Conteos!$D170</f>
        <v>0.117737733391229</v>
      </c>
      <c r="H170" s="7" t="n">
        <f aca="false">Conteos!I170/Conteos!$D170</f>
        <v>0.0121844852649663</v>
      </c>
      <c r="I170" s="7" t="n">
        <f aca="false">Conteos!J170/Conteos!$D170</f>
        <v>0.0196161906020503</v>
      </c>
      <c r="J170" s="7" t="n">
        <f aca="false">Conteos!K170/Conteos!$D170</f>
        <v>0.0854764107308048</v>
      </c>
      <c r="K170" s="7" t="n">
        <f aca="false">Conteos!L170/Conteos!$D170</f>
        <v>0.00842379504993487</v>
      </c>
      <c r="L170" s="7" t="n">
        <f aca="false">Conteos!M170/Conteos!$D170</f>
        <v>0.000101946421491816</v>
      </c>
      <c r="M170" s="7" t="n">
        <f aca="false">SUM(H170:L170)</f>
        <v>0.125802828069248</v>
      </c>
      <c r="N170" s="7" t="n">
        <f aca="false">SUM(I170:L170)</f>
        <v>0.113618342804282</v>
      </c>
      <c r="O170" s="7" t="n">
        <f aca="false">SUM(G170:L170)</f>
        <v>0.243540561460477</v>
      </c>
      <c r="P170" s="7" t="n">
        <f aca="false">Conteos!N170/Conteos!D170</f>
        <v>0.947222903962695</v>
      </c>
    </row>
  </sheetData>
  <autoFilter ref="A1:P1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8"/>
  </cols>
  <sheetData>
    <row r="1" customFormat="false" ht="15" hidden="false" customHeight="false" outlineLevel="0" collapsed="false">
      <c r="A1" s="8" t="s">
        <v>199</v>
      </c>
    </row>
    <row r="2" customFormat="false" ht="15" hidden="false" customHeight="false" outlineLevel="0" collapsed="false">
      <c r="B2" s="9" t="s">
        <v>200</v>
      </c>
      <c r="C2" s="9" t="s">
        <v>201</v>
      </c>
      <c r="D2" s="9" t="s">
        <v>202</v>
      </c>
      <c r="E2" s="9" t="s">
        <v>203</v>
      </c>
      <c r="F2" s="9" t="s">
        <v>204</v>
      </c>
      <c r="G2" s="9" t="s">
        <v>205</v>
      </c>
      <c r="H2" s="9" t="s">
        <v>206</v>
      </c>
      <c r="I2" s="9" t="s">
        <v>207</v>
      </c>
      <c r="J2" s="9" t="s">
        <v>208</v>
      </c>
      <c r="K2" s="9" t="s">
        <v>209</v>
      </c>
      <c r="L2" s="9" t="s">
        <v>210</v>
      </c>
      <c r="M2" s="9" t="s">
        <v>211</v>
      </c>
      <c r="N2" s="9" t="s">
        <v>212</v>
      </c>
    </row>
    <row r="3" customFormat="false" ht="15" hidden="false" customHeight="false" outlineLevel="0" collapsed="false">
      <c r="A3" s="9" t="s">
        <v>200</v>
      </c>
      <c r="B3" s="10" t="n">
        <f aca="false">INDEX(Probabilidades!$M$2:$M$170,MATCH("AA",Probabilidades!$A$2:$A$170,0))</f>
        <v>0.125802828069248</v>
      </c>
      <c r="C3" s="10" t="n">
        <f aca="false">INDEX(Probabilidades!$M$2:$M$170,MATCH("AKs",Probabilidades!$A$2:$A$170,0))</f>
        <v>0.120239196511167</v>
      </c>
      <c r="D3" s="10" t="n">
        <f aca="false">INDEX(Probabilidades!$M$2:$M$170,MATCH("AQs",Probabilidades!$A$2:$A$170,0))</f>
        <v>0.12374643659499</v>
      </c>
      <c r="E3" s="10" t="n">
        <f aca="false">INDEX(Probabilidades!$M$2:$M$170,MATCH("AJs",Probabilidades!$A$2:$A$170,0))</f>
        <v>0.127253676678812</v>
      </c>
      <c r="F3" s="10" t="n">
        <f aca="false">INDEX(Probabilidades!$M$2:$M$170,MATCH("ATs",Probabilidades!$A$2:$A$170,0))</f>
        <v>0.130760916762635</v>
      </c>
      <c r="G3" s="10" t="n">
        <f aca="false">INDEX(Probabilidades!$M$2:$M$170,MATCH("A9s",Probabilidades!$A$2:$A$170,0))</f>
        <v>0.114251260171043</v>
      </c>
      <c r="H3" s="10" t="n">
        <f aca="false">INDEX(Probabilidades!$M$2:$M$170,MATCH("A8s",Probabilidades!$A$2:$A$170,0))</f>
        <v>0.117758500254866</v>
      </c>
      <c r="I3" s="10" t="n">
        <f aca="false">INDEX(Probabilidades!$M$2:$M$170,MATCH("A7s",Probabilidades!$A$2:$A$170,0))</f>
        <v>0.117758500254866</v>
      </c>
      <c r="J3" s="10" t="n">
        <f aca="false">INDEX(Probabilidades!$M$2:$M$170,MATCH("A6s",Probabilidades!$A$2:$A$170,0))</f>
        <v>0.114251260171043</v>
      </c>
      <c r="K3" s="10" t="n">
        <f aca="false">INDEX(Probabilidades!$M$2:$M$170,MATCH("A5s",Probabilidades!$A$2:$A$170,0))</f>
        <v>0.130760916762635</v>
      </c>
      <c r="L3" s="10" t="n">
        <f aca="false">INDEX(Probabilidades!$M$2:$M$170,MATCH("A4s",Probabilidades!$A$2:$A$170,0))</f>
        <v>0.127253676678812</v>
      </c>
      <c r="M3" s="10" t="n">
        <f aca="false">INDEX(Probabilidades!$M$2:$M$170,MATCH("A3s",Probabilidades!$A$2:$A$170,0))</f>
        <v>0.12374643659499</v>
      </c>
      <c r="N3" s="10" t="n">
        <f aca="false">INDEX(Probabilidades!$M$2:$M$170,MATCH("A2s",Probabilidades!$A$2:$A$170,0))</f>
        <v>0.120239196511167</v>
      </c>
    </row>
    <row r="4" customFormat="false" ht="15" hidden="false" customHeight="false" outlineLevel="0" collapsed="false">
      <c r="A4" s="9" t="s">
        <v>201</v>
      </c>
      <c r="B4" s="10" t="n">
        <f aca="false">INDEX(Probabilidades!$M$2:$M$170,MATCH("AKo",Probabilidades!$A$2:$A$170,0))</f>
        <v>0.0762351564122411</v>
      </c>
      <c r="C4" s="10" t="n">
        <f aca="false">INDEX(Probabilidades!$M$2:$M$170,MATCH("KK",Probabilidades!$A$2:$A$170,0))</f>
        <v>0.125802828069248</v>
      </c>
      <c r="D4" s="10" t="n">
        <f aca="false">INDEX(Probabilidades!$M$2:$M$170,MATCH("KQs",Probabilidades!$A$2:$A$170,0))</f>
        <v>0.136316996733939</v>
      </c>
      <c r="E4" s="10" t="n">
        <f aca="false">INDEX(Probabilidades!$M$2:$M$170,MATCH("KJs",Probabilidades!$A$2:$A$170,0))</f>
        <v>0.139824236817761</v>
      </c>
      <c r="F4" s="10" t="n">
        <f aca="false">INDEX(Probabilidades!$M$2:$M$170,MATCH("KTs",Probabilidades!$A$2:$A$170,0))</f>
        <v>0.143331476901584</v>
      </c>
      <c r="G4" s="10" t="n">
        <f aca="false">INDEX(Probabilidades!$M$2:$M$170,MATCH("K9s",Probabilidades!$A$2:$A$170,0))</f>
        <v>0.126821820309993</v>
      </c>
      <c r="H4" s="10" t="n">
        <f aca="false">INDEX(Probabilidades!$M$2:$M$170,MATCH("K8s",Probabilidades!$A$2:$A$170,0))</f>
        <v>0.114251260171043</v>
      </c>
      <c r="I4" s="10" t="n">
        <f aca="false">INDEX(Probabilidades!$M$2:$M$170,MATCH("K7s",Probabilidades!$A$2:$A$170,0))</f>
        <v>0.117758500254866</v>
      </c>
      <c r="J4" s="10" t="n">
        <f aca="false">INDEX(Probabilidades!$M$2:$M$170,MATCH("K6s",Probabilidades!$A$2:$A$170,0))</f>
        <v>0.117758500254866</v>
      </c>
      <c r="K4" s="10" t="n">
        <f aca="false">INDEX(Probabilidades!$M$2:$M$170,MATCH("K5s",Probabilidades!$A$2:$A$170,0))</f>
        <v>0.118190356623686</v>
      </c>
      <c r="L4" s="10" t="n">
        <f aca="false">INDEX(Probabilidades!$M$2:$M$170,MATCH("K4s",Probabilidades!$A$2:$A$170,0))</f>
        <v>0.114683116539863</v>
      </c>
      <c r="M4" s="10" t="n">
        <f aca="false">INDEX(Probabilidades!$M$2:$M$170,MATCH("K3s",Probabilidades!$A$2:$A$170,0))</f>
        <v>0.11117587645604</v>
      </c>
      <c r="N4" s="10" t="n">
        <f aca="false">INDEX(Probabilidades!$M$2:$M$170,MATCH("K2s",Probabilidades!$A$2:$A$170,0))</f>
        <v>0.107668636372218</v>
      </c>
    </row>
    <row r="5" customFormat="false" ht="15" hidden="false" customHeight="false" outlineLevel="0" collapsed="false">
      <c r="A5" s="9" t="s">
        <v>202</v>
      </c>
      <c r="B5" s="10" t="n">
        <f aca="false">INDEX(Probabilidades!$M$2:$M$170,MATCH("AQo",Probabilidades!$A$2:$A$170,0))</f>
        <v>0.0799911268855368</v>
      </c>
      <c r="C5" s="10" t="n">
        <f aca="false">INDEX(Probabilidades!$M$2:$M$170,MATCH("KQo",Probabilidades!$A$2:$A$170,0))</f>
        <v>0.0933111820121203</v>
      </c>
      <c r="D5" s="10" t="n">
        <f aca="false">INDEX(Probabilidades!$M$2:$M$170,MATCH("QQ",Probabilidades!$A$2:$A$170,0))</f>
        <v>0.129558798542544</v>
      </c>
      <c r="E5" s="10" t="n">
        <f aca="false">INDEX(Probabilidades!$M$2:$M$170,MATCH("QJs",Probabilidades!$A$2:$A$170,0))</f>
        <v>0.155902037040533</v>
      </c>
      <c r="F5" s="10" t="n">
        <f aca="false">INDEX(Probabilidades!$M$2:$M$170,MATCH("QTs",Probabilidades!$A$2:$A$170,0))</f>
        <v>0.159409277124356</v>
      </c>
      <c r="G5" s="10" t="n">
        <f aca="false">INDEX(Probabilidades!$M$2:$M$170,MATCH("Q9s",Probabilidades!$A$2:$A$170,0))</f>
        <v>0.142899620532764</v>
      </c>
      <c r="H5" s="10" t="n">
        <f aca="false">INDEX(Probabilidades!$M$2:$M$170,MATCH("Q8s",Probabilidades!$A$2:$A$170,0))</f>
        <v>0.130329060393815</v>
      </c>
      <c r="I5" s="10" t="n">
        <f aca="false">INDEX(Probabilidades!$M$2:$M$170,MATCH("Q7s",Probabilidades!$A$2:$A$170,0))</f>
        <v>0.117758500254866</v>
      </c>
      <c r="J5" s="10" t="n">
        <f aca="false">INDEX(Probabilidades!$M$2:$M$170,MATCH("Q6s",Probabilidades!$A$2:$A$170,0))</f>
        <v>0.121265740338689</v>
      </c>
      <c r="K5" s="10" t="n">
        <f aca="false">INDEX(Probabilidades!$M$2:$M$170,MATCH("Q5s",Probabilidades!$A$2:$A$170,0))</f>
        <v>0.121697596707508</v>
      </c>
      <c r="L5" s="10" t="n">
        <f aca="false">INDEX(Probabilidades!$M$2:$M$170,MATCH("Q4s",Probabilidades!$A$2:$A$170,0))</f>
        <v>0.118190356623686</v>
      </c>
      <c r="M5" s="10" t="n">
        <f aca="false">INDEX(Probabilidades!$M$2:$M$170,MATCH("Q3s",Probabilidades!$A$2:$A$170,0))</f>
        <v>0.114683116539863</v>
      </c>
      <c r="N5" s="10" t="n">
        <f aca="false">INDEX(Probabilidades!$M$2:$M$170,MATCH("Q2s",Probabilidades!$A$2:$A$170,0))</f>
        <v>0.11117587645604</v>
      </c>
    </row>
    <row r="6" customFormat="false" ht="15" hidden="false" customHeight="false" outlineLevel="0" collapsed="false">
      <c r="A6" s="9" t="s">
        <v>203</v>
      </c>
      <c r="B6" s="10" t="n">
        <f aca="false">INDEX(Probabilidades!$M$2:$M$170,MATCH("AJo",Probabilidades!$A$2:$A$170,0))</f>
        <v>0.0837470973588325</v>
      </c>
      <c r="C6" s="10" t="n">
        <f aca="false">INDEX(Probabilidades!$M$2:$M$170,MATCH("KJo",Probabilidades!$A$2:$A$170,0))</f>
        <v>0.097067152485416</v>
      </c>
      <c r="D6" s="10" t="n">
        <f aca="false">INDEX(Probabilidades!$M$2:$M$170,MATCH("QJo",Probabilidades!$A$2:$A$170,0))</f>
        <v>0.114143178085295</v>
      </c>
      <c r="E6" s="10" t="n">
        <f aca="false">INDEX(Probabilidades!$M$2:$M$170,MATCH("JJ",Probabilidades!$A$2:$A$170,0))</f>
        <v>0.133314769015839</v>
      </c>
      <c r="F6" s="10" t="n">
        <f aca="false">INDEX(Probabilidades!$M$2:$M$170,MATCH("JTs",Probabilidades!$A$2:$A$170,0))</f>
        <v>0.175487077347128</v>
      </c>
      <c r="G6" s="10" t="n">
        <f aca="false">INDEX(Probabilidades!$M$2:$M$170,MATCH("J9s",Probabilidades!$A$2:$A$170,0))</f>
        <v>0.158977420755536</v>
      </c>
      <c r="H6" s="10" t="n">
        <f aca="false">INDEX(Probabilidades!$M$2:$M$170,MATCH("J8s",Probabilidades!$A$2:$A$170,0))</f>
        <v>0.146406860616587</v>
      </c>
      <c r="I6" s="10" t="n">
        <f aca="false">INDEX(Probabilidades!$M$2:$M$170,MATCH("J7s",Probabilidades!$A$2:$A$170,0))</f>
        <v>0.133836300477638</v>
      </c>
      <c r="J6" s="10" t="n">
        <f aca="false">INDEX(Probabilidades!$M$2:$M$170,MATCH("J6s",Probabilidades!$A$2:$A$170,0))</f>
        <v>0.121265740338689</v>
      </c>
      <c r="K6" s="10" t="n">
        <f aca="false">INDEX(Probabilidades!$M$2:$M$170,MATCH("J5s",Probabilidades!$A$2:$A$170,0))</f>
        <v>0.125204836791331</v>
      </c>
      <c r="L6" s="10" t="n">
        <f aca="false">INDEX(Probabilidades!$M$2:$M$170,MATCH("J4s",Probabilidades!$A$2:$A$170,0))</f>
        <v>0.121697596707508</v>
      </c>
      <c r="M6" s="10" t="n">
        <f aca="false">INDEX(Probabilidades!$M$2:$M$170,MATCH("J3s",Probabilidades!$A$2:$A$170,0))</f>
        <v>0.118190356623686</v>
      </c>
      <c r="N6" s="10" t="n">
        <f aca="false">INDEX(Probabilidades!$M$2:$M$170,MATCH("J2s",Probabilidades!$A$2:$A$170,0))</f>
        <v>0.114683116539863</v>
      </c>
    </row>
    <row r="7" customFormat="false" ht="15" hidden="false" customHeight="false" outlineLevel="0" collapsed="false">
      <c r="A7" s="9" t="s">
        <v>204</v>
      </c>
      <c r="B7" s="10" t="n">
        <f aca="false">INDEX(Probabilidades!$M$2:$M$170,MATCH("ATo",Probabilidades!$A$2:$A$170,0))</f>
        <v>0.0875030678321282</v>
      </c>
      <c r="C7" s="10" t="n">
        <f aca="false">INDEX(Probabilidades!$M$2:$M$170,MATCH("KTo",Probabilidades!$A$2:$A$170,0))</f>
        <v>0.100823122958712</v>
      </c>
      <c r="D7" s="10" t="n">
        <f aca="false">INDEX(Probabilidades!$M$2:$M$170,MATCH("QTo",Probabilidades!$A$2:$A$170,0))</f>
        <v>0.117899148558591</v>
      </c>
      <c r="E7" s="10" t="n">
        <f aca="false">INDEX(Probabilidades!$M$2:$M$170,MATCH("JTo",Probabilidades!$A$2:$A$170,0))</f>
        <v>0.13497517415847</v>
      </c>
      <c r="F7" s="10" t="n">
        <f aca="false">INDEX(Probabilidades!$M$2:$M$170,MATCH("TT",Probabilidades!$A$2:$A$170,0))</f>
        <v>0.137070739489135</v>
      </c>
      <c r="G7" s="10" t="n">
        <f aca="false">INDEX(Probabilidades!$M$2:$M$170,MATCH("T9s",Probabilidades!$A$2:$A$170,0))</f>
        <v>0.175055220978308</v>
      </c>
      <c r="H7" s="10" t="n">
        <f aca="false">INDEX(Probabilidades!$M$2:$M$170,MATCH("T8s",Probabilidades!$A$2:$A$170,0))</f>
        <v>0.162484660839359</v>
      </c>
      <c r="I7" s="10" t="n">
        <f aca="false">INDEX(Probabilidades!$M$2:$M$170,MATCH("T7s",Probabilidades!$A$2:$A$170,0))</f>
        <v>0.14991410070041</v>
      </c>
      <c r="J7" s="10" t="n">
        <f aca="false">INDEX(Probabilidades!$M$2:$M$170,MATCH("T6s",Probabilidades!$A$2:$A$170,0))</f>
        <v>0.13734354056146</v>
      </c>
      <c r="K7" s="10" t="n">
        <f aca="false">INDEX(Probabilidades!$M$2:$M$170,MATCH("T5s",Probabilidades!$A$2:$A$170,0))</f>
        <v>0.125204836791331</v>
      </c>
      <c r="L7" s="10" t="n">
        <f aca="false">INDEX(Probabilidades!$M$2:$M$170,MATCH("T4s",Probabilidades!$A$2:$A$170,0))</f>
        <v>0.125204836791331</v>
      </c>
      <c r="M7" s="10" t="n">
        <f aca="false">INDEX(Probabilidades!$M$2:$M$170,MATCH("T3s",Probabilidades!$A$2:$A$170,0))</f>
        <v>0.121697596707508</v>
      </c>
      <c r="N7" s="10" t="n">
        <f aca="false">INDEX(Probabilidades!$M$2:$M$170,MATCH("T2s",Probabilidades!$A$2:$A$170,0))</f>
        <v>0.118190356623686</v>
      </c>
    </row>
    <row r="8" customFormat="false" ht="15" hidden="false" customHeight="false" outlineLevel="0" collapsed="false">
      <c r="A8" s="9" t="s">
        <v>205</v>
      </c>
      <c r="B8" s="10" t="n">
        <f aca="false">INDEX(Probabilidades!$M$2:$M$170,MATCH("A9o",Probabilidades!$A$2:$A$170,0))</f>
        <v>0.0699597878004116</v>
      </c>
      <c r="C8" s="10" t="n">
        <f aca="false">INDEX(Probabilidades!$M$2:$M$170,MATCH("K9o",Probabilidades!$A$2:$A$170,0))</f>
        <v>0.083279842926995</v>
      </c>
      <c r="D8" s="10" t="n">
        <f aca="false">INDEX(Probabilidades!$M$2:$M$170,MATCH("Q9o",Probabilidades!$A$2:$A$170,0))</f>
        <v>0.100355868526874</v>
      </c>
      <c r="E8" s="10" t="n">
        <f aca="false">INDEX(Probabilidades!$M$2:$M$170,MATCH("J9o",Probabilidades!$A$2:$A$170,0))</f>
        <v>0.117431894126753</v>
      </c>
      <c r="F8" s="10" t="n">
        <f aca="false">INDEX(Probabilidades!$M$2:$M$170,MATCH("T9o",Probabilidades!$A$2:$A$170,0))</f>
        <v>0.134507919726633</v>
      </c>
      <c r="G8" s="10" t="n">
        <f aca="false">INDEX(Probabilidades!$M$2:$M$170,MATCH("99",Probabilidades!$A$2:$A$170,0))</f>
        <v>0.136603485057298</v>
      </c>
      <c r="H8" s="10" t="n">
        <f aca="false">INDEX(Probabilidades!$M$2:$M$170,MATCH("98s",Probabilidades!$A$2:$A$170,0))</f>
        <v>0.174623364609489</v>
      </c>
      <c r="I8" s="10" t="n">
        <f aca="false">INDEX(Probabilidades!$M$2:$M$170,MATCH("97s",Probabilidades!$A$2:$A$170,0))</f>
        <v>0.162052804470539</v>
      </c>
      <c r="J8" s="10" t="n">
        <f aca="false">INDEX(Probabilidades!$M$2:$M$170,MATCH("96s",Probabilidades!$A$2:$A$170,0))</f>
        <v>0.14948224433159</v>
      </c>
      <c r="K8" s="10" t="n">
        <f aca="false">INDEX(Probabilidades!$M$2:$M$170,MATCH("95s",Probabilidades!$A$2:$A$170,0))</f>
        <v>0.13734354056146</v>
      </c>
      <c r="L8" s="10" t="n">
        <f aca="false">INDEX(Probabilidades!$M$2:$M$170,MATCH("94s",Probabilidades!$A$2:$A$170,0))</f>
        <v>0.121265740338689</v>
      </c>
      <c r="M8" s="10" t="n">
        <f aca="false">INDEX(Probabilidades!$M$2:$M$170,MATCH("93s",Probabilidades!$A$2:$A$170,0))</f>
        <v>0.121265740338689</v>
      </c>
      <c r="N8" s="10" t="n">
        <f aca="false">INDEX(Probabilidades!$M$2:$M$170,MATCH("92s",Probabilidades!$A$2:$A$170,0))</f>
        <v>0.117758500254866</v>
      </c>
    </row>
    <row r="9" customFormat="false" ht="15" hidden="false" customHeight="false" outlineLevel="0" collapsed="false">
      <c r="A9" s="9" t="s">
        <v>206</v>
      </c>
      <c r="B9" s="10" t="n">
        <f aca="false">INDEX(Probabilidades!$M$2:$M$170,MATCH("A8o",Probabilidades!$A$2:$A$170,0))</f>
        <v>0.0737157582737073</v>
      </c>
      <c r="C9" s="10" t="n">
        <f aca="false">INDEX(Probabilidades!$M$2:$M$170,MATCH("K8o",Probabilidades!$A$2:$A$170,0))</f>
        <v>0.0699597878004116</v>
      </c>
      <c r="D9" s="10" t="n">
        <f aca="false">INDEX(Probabilidades!$M$2:$M$170,MATCH("Q8o",Probabilidades!$A$2:$A$170,0))</f>
        <v>0.0870358134002907</v>
      </c>
      <c r="E9" s="10" t="n">
        <f aca="false">INDEX(Probabilidades!$M$2:$M$170,MATCH("J8o",Probabilidades!$A$2:$A$170,0))</f>
        <v>0.10411183900017</v>
      </c>
      <c r="F9" s="10" t="n">
        <f aca="false">INDEX(Probabilidades!$M$2:$M$170,MATCH("T8o",Probabilidades!$A$2:$A$170,0))</f>
        <v>0.121187864600049</v>
      </c>
      <c r="G9" s="10" t="n">
        <f aca="false">INDEX(Probabilidades!$M$2:$M$170,MATCH("98o",Probabilidades!$A$2:$A$170,0))</f>
        <v>0.134040665294795</v>
      </c>
      <c r="H9" s="10" t="n">
        <f aca="false">INDEX(Probabilidades!$M$2:$M$170,MATCH("88",Probabilidades!$A$2:$A$170,0))</f>
        <v>0.136603485057298</v>
      </c>
      <c r="I9" s="10" t="n">
        <f aca="false">INDEX(Probabilidades!$M$2:$M$170,MATCH("87s",Probabilidades!$A$2:$A$170,0))</f>
        <v>0.174623364609489</v>
      </c>
      <c r="J9" s="10" t="n">
        <f aca="false">INDEX(Probabilidades!$M$2:$M$170,MATCH("86s",Probabilidades!$A$2:$A$170,0))</f>
        <v>0.162052804470539</v>
      </c>
      <c r="K9" s="10" t="n">
        <f aca="false">INDEX(Probabilidades!$M$2:$M$170,MATCH("85s",Probabilidades!$A$2:$A$170,0))</f>
        <v>0.14991410070041</v>
      </c>
      <c r="L9" s="10" t="n">
        <f aca="false">INDEX(Probabilidades!$M$2:$M$170,MATCH("84s",Probabilidades!$A$2:$A$170,0))</f>
        <v>0.133836300477638</v>
      </c>
      <c r="M9" s="10" t="n">
        <f aca="false">INDEX(Probabilidades!$M$2:$M$170,MATCH("83s",Probabilidades!$A$2:$A$170,0))</f>
        <v>0.117758500254866</v>
      </c>
      <c r="N9" s="10" t="n">
        <f aca="false">INDEX(Probabilidades!$M$2:$M$170,MATCH("82s",Probabilidades!$A$2:$A$170,0))</f>
        <v>0.117758500254866</v>
      </c>
    </row>
    <row r="10" customFormat="false" ht="15" hidden="false" customHeight="false" outlineLevel="0" collapsed="false">
      <c r="A10" s="9" t="s">
        <v>207</v>
      </c>
      <c r="B10" s="10" t="n">
        <f aca="false">INDEX(Probabilidades!$M$2:$M$170,MATCH("A7o",Probabilidades!$A$2:$A$170,0))</f>
        <v>0.0737157582737073</v>
      </c>
      <c r="C10" s="10" t="n">
        <f aca="false">INDEX(Probabilidades!$M$2:$M$170,MATCH("K7o",Probabilidades!$A$2:$A$170,0))</f>
        <v>0.0737157582737073</v>
      </c>
      <c r="D10" s="10" t="n">
        <f aca="false">INDEX(Probabilidades!$M$2:$M$170,MATCH("Q7o",Probabilidades!$A$2:$A$170,0))</f>
        <v>0.0737157582737073</v>
      </c>
      <c r="E10" s="10" t="n">
        <f aca="false">INDEX(Probabilidades!$M$2:$M$170,MATCH("J7o",Probabilidades!$A$2:$A$170,0))</f>
        <v>0.0907917838735864</v>
      </c>
      <c r="F10" s="10" t="n">
        <f aca="false">INDEX(Probabilidades!$M$2:$M$170,MATCH("T7o",Probabilidades!$A$2:$A$170,0))</f>
        <v>0.107867809473466</v>
      </c>
      <c r="G10" s="10" t="n">
        <f aca="false">INDEX(Probabilidades!$M$2:$M$170,MATCH("97o",Probabilidades!$A$2:$A$170,0))</f>
        <v>0.120720610168212</v>
      </c>
      <c r="H10" s="10" t="n">
        <f aca="false">INDEX(Probabilidades!$M$2:$M$170,MATCH("87o",Probabilidades!$A$2:$A$170,0))</f>
        <v>0.134040665294795</v>
      </c>
      <c r="I10" s="10" t="n">
        <f aca="false">INDEX(Probabilidades!$M$2:$M$170,MATCH("77",Probabilidades!$A$2:$A$170,0))</f>
        <v>0.136603485057298</v>
      </c>
      <c r="J10" s="10" t="n">
        <f aca="false">INDEX(Probabilidades!$M$2:$M$170,MATCH("76s",Probabilidades!$A$2:$A$170,0))</f>
        <v>0.174623364609489</v>
      </c>
      <c r="K10" s="10" t="n">
        <f aca="false">INDEX(Probabilidades!$M$2:$M$170,MATCH("75s",Probabilidades!$A$2:$A$170,0))</f>
        <v>0.162484660839359</v>
      </c>
      <c r="L10" s="10" t="n">
        <f aca="false">INDEX(Probabilidades!$M$2:$M$170,MATCH("74s",Probabilidades!$A$2:$A$170,0))</f>
        <v>0.146406860616587</v>
      </c>
      <c r="M10" s="10" t="n">
        <f aca="false">INDEX(Probabilidades!$M$2:$M$170,MATCH("73s",Probabilidades!$A$2:$A$170,0))</f>
        <v>0.130329060393815</v>
      </c>
      <c r="N10" s="10" t="n">
        <f aca="false">INDEX(Probabilidades!$M$2:$M$170,MATCH("72s",Probabilidades!$A$2:$A$170,0))</f>
        <v>0.114251260171043</v>
      </c>
    </row>
    <row r="11" customFormat="false" ht="15" hidden="false" customHeight="false" outlineLevel="0" collapsed="false">
      <c r="A11" s="9" t="s">
        <v>208</v>
      </c>
      <c r="B11" s="10" t="n">
        <f aca="false">INDEX(Probabilidades!$M$2:$M$170,MATCH("A6o",Probabilidades!$A$2:$A$170,0))</f>
        <v>0.0699597878004116</v>
      </c>
      <c r="C11" s="10" t="n">
        <f aca="false">INDEX(Probabilidades!$M$2:$M$170,MATCH("K6o",Probabilidades!$A$2:$A$170,0))</f>
        <v>0.0737157582737073</v>
      </c>
      <c r="D11" s="10" t="n">
        <f aca="false">INDEX(Probabilidades!$M$2:$M$170,MATCH("Q6o",Probabilidades!$A$2:$A$170,0))</f>
        <v>0.077471728747003</v>
      </c>
      <c r="E11" s="10" t="n">
        <f aca="false">INDEX(Probabilidades!$M$2:$M$170,MATCH("J6o",Probabilidades!$A$2:$A$170,0))</f>
        <v>0.077471728747003</v>
      </c>
      <c r="F11" s="10" t="n">
        <f aca="false">INDEX(Probabilidades!$M$2:$M$170,MATCH("T6o",Probabilidades!$A$2:$A$170,0))</f>
        <v>0.0945477543468822</v>
      </c>
      <c r="G11" s="10" t="n">
        <f aca="false">INDEX(Probabilidades!$M$2:$M$170,MATCH("96o",Probabilidades!$A$2:$A$170,0))</f>
        <v>0.107400555041628</v>
      </c>
      <c r="H11" s="10" t="n">
        <f aca="false">INDEX(Probabilidades!$M$2:$M$170,MATCH("86o",Probabilidades!$A$2:$A$170,0))</f>
        <v>0.120720610168212</v>
      </c>
      <c r="I11" s="10" t="n">
        <f aca="false">INDEX(Probabilidades!$M$2:$M$170,MATCH("76o",Probabilidades!$A$2:$A$170,0))</f>
        <v>0.134040665294795</v>
      </c>
      <c r="J11" s="10" t="n">
        <f aca="false">INDEX(Probabilidades!$M$2:$M$170,MATCH("66",Probabilidades!$A$2:$A$170,0))</f>
        <v>0.136603485057298</v>
      </c>
      <c r="K11" s="10" t="n">
        <f aca="false">INDEX(Probabilidades!$M$2:$M$170,MATCH("65s",Probabilidades!$A$2:$A$170,0))</f>
        <v>0.175055220978308</v>
      </c>
      <c r="L11" s="10" t="n">
        <f aca="false">INDEX(Probabilidades!$M$2:$M$170,MATCH("64s",Probabilidades!$A$2:$A$170,0))</f>
        <v>0.158977420755536</v>
      </c>
      <c r="M11" s="10" t="n">
        <f aca="false">INDEX(Probabilidades!$M$2:$M$170,MATCH("63s",Probabilidades!$A$2:$A$170,0))</f>
        <v>0.142899620532764</v>
      </c>
      <c r="N11" s="10" t="n">
        <f aca="false">INDEX(Probabilidades!$M$2:$M$170,MATCH("62s",Probabilidades!$A$2:$A$170,0))</f>
        <v>0.126821820309993</v>
      </c>
    </row>
    <row r="12" customFormat="false" ht="15" hidden="false" customHeight="false" outlineLevel="0" collapsed="false">
      <c r="A12" s="9" t="s">
        <v>209</v>
      </c>
      <c r="B12" s="10" t="n">
        <f aca="false">INDEX(Probabilidades!$M$2:$M$170,MATCH("A5o",Probabilidades!$A$2:$A$170,0))</f>
        <v>0.0875030678321282</v>
      </c>
      <c r="C12" s="10" t="n">
        <f aca="false">INDEX(Probabilidades!$M$2:$M$170,MATCH("K5o",Probabilidades!$A$2:$A$170,0))</f>
        <v>0.0741830127055448</v>
      </c>
      <c r="D12" s="10" t="n">
        <f aca="false">INDEX(Probabilidades!$M$2:$M$170,MATCH("Q5o",Probabilidades!$A$2:$A$170,0))</f>
        <v>0.0779389831788405</v>
      </c>
      <c r="E12" s="10" t="n">
        <f aca="false">INDEX(Probabilidades!$M$2:$M$170,MATCH("J5o",Probabilidades!$A$2:$A$170,0))</f>
        <v>0.0816949536521362</v>
      </c>
      <c r="F12" s="10" t="n">
        <f aca="false">INDEX(Probabilidades!$M$2:$M$170,MATCH("T5o",Probabilidades!$A$2:$A$170,0))</f>
        <v>0.0816949536521362</v>
      </c>
      <c r="G12" s="10" t="n">
        <f aca="false">INDEX(Probabilidades!$M$2:$M$170,MATCH("95o",Probabilidades!$A$2:$A$170,0))</f>
        <v>0.0945477543468822</v>
      </c>
      <c r="H12" s="10" t="n">
        <f aca="false">INDEX(Probabilidades!$M$2:$M$170,MATCH("85o",Probabilidades!$A$2:$A$170,0))</f>
        <v>0.107867809473466</v>
      </c>
      <c r="I12" s="10" t="n">
        <f aca="false">INDEX(Probabilidades!$M$2:$M$170,MATCH("75o",Probabilidades!$A$2:$A$170,0))</f>
        <v>0.121187864600049</v>
      </c>
      <c r="J12" s="10" t="n">
        <f aca="false">INDEX(Probabilidades!$M$2:$M$170,MATCH("65o",Probabilidades!$A$2:$A$170,0))</f>
        <v>0.134507919726633</v>
      </c>
      <c r="K12" s="10" t="n">
        <f aca="false">INDEX(Probabilidades!$M$2:$M$170,MATCH("55",Probabilidades!$A$2:$A$170,0))</f>
        <v>0.137070739489135</v>
      </c>
      <c r="L12" s="10" t="n">
        <f aca="false">INDEX(Probabilidades!$M$2:$M$170,MATCH("54s",Probabilidades!$A$2:$A$170,0))</f>
        <v>0.175487077347128</v>
      </c>
      <c r="M12" s="10" t="n">
        <f aca="false">INDEX(Probabilidades!$M$2:$M$170,MATCH("53s",Probabilidades!$A$2:$A$170,0))</f>
        <v>0.159409277124356</v>
      </c>
      <c r="N12" s="10" t="n">
        <f aca="false">INDEX(Probabilidades!$M$2:$M$170,MATCH("52s",Probabilidades!$A$2:$A$170,0))</f>
        <v>0.143331476901584</v>
      </c>
    </row>
    <row r="13" customFormat="false" ht="15" hidden="false" customHeight="false" outlineLevel="0" collapsed="false">
      <c r="A13" s="9" t="s">
        <v>210</v>
      </c>
      <c r="B13" s="10" t="n">
        <f aca="false">INDEX(Probabilidades!$M$2:$M$170,MATCH("A4o",Probabilidades!$A$2:$A$170,0))</f>
        <v>0.0837470973588325</v>
      </c>
      <c r="C13" s="10" t="n">
        <f aca="false">INDEX(Probabilidades!$M$2:$M$170,MATCH("K4o",Probabilidades!$A$2:$A$170,0))</f>
        <v>0.0704270422322491</v>
      </c>
      <c r="D13" s="10" t="n">
        <f aca="false">INDEX(Probabilidades!$M$2:$M$170,MATCH("Q4o",Probabilidades!$A$2:$A$170,0))</f>
        <v>0.0741830127055448</v>
      </c>
      <c r="E13" s="10" t="n">
        <f aca="false">INDEX(Probabilidades!$M$2:$M$170,MATCH("J4o",Probabilidades!$A$2:$A$170,0))</f>
        <v>0.0779389831788405</v>
      </c>
      <c r="F13" s="10" t="n">
        <f aca="false">INDEX(Probabilidades!$M$2:$M$170,MATCH("T4o",Probabilidades!$A$2:$A$170,0))</f>
        <v>0.0816949536521362</v>
      </c>
      <c r="G13" s="10" t="n">
        <f aca="false">INDEX(Probabilidades!$M$2:$M$170,MATCH("94o",Probabilidades!$A$2:$A$170,0))</f>
        <v>0.077471728747003</v>
      </c>
      <c r="H13" s="10" t="n">
        <f aca="false">INDEX(Probabilidades!$M$2:$M$170,MATCH("84o",Probabilidades!$A$2:$A$170,0))</f>
        <v>0.0907917838735864</v>
      </c>
      <c r="I13" s="10" t="n">
        <f aca="false">INDEX(Probabilidades!$M$2:$M$170,MATCH("74o",Probabilidades!$A$2:$A$170,0))</f>
        <v>0.10411183900017</v>
      </c>
      <c r="J13" s="10" t="n">
        <f aca="false">INDEX(Probabilidades!$M$2:$M$170,MATCH("64o",Probabilidades!$A$2:$A$170,0))</f>
        <v>0.117431894126753</v>
      </c>
      <c r="K13" s="10" t="n">
        <f aca="false">INDEX(Probabilidades!$M$2:$M$170,MATCH("54o",Probabilidades!$A$2:$A$170,0))</f>
        <v>0.13497517415847</v>
      </c>
      <c r="L13" s="10" t="n">
        <f aca="false">INDEX(Probabilidades!$M$2:$M$170,MATCH("44",Probabilidades!$A$2:$A$170,0))</f>
        <v>0.133314769015839</v>
      </c>
      <c r="M13" s="10" t="n">
        <f aca="false">INDEX(Probabilidades!$M$2:$M$170,MATCH("43s",Probabilidades!$A$2:$A$170,0))</f>
        <v>0.155902037040533</v>
      </c>
      <c r="N13" s="10" t="n">
        <f aca="false">INDEX(Probabilidades!$M$2:$M$170,MATCH("42s",Probabilidades!$A$2:$A$170,0))</f>
        <v>0.139824236817761</v>
      </c>
    </row>
    <row r="14" customFormat="false" ht="15" hidden="false" customHeight="false" outlineLevel="0" collapsed="false">
      <c r="A14" s="9" t="s">
        <v>211</v>
      </c>
      <c r="B14" s="10" t="n">
        <f aca="false">INDEX(Probabilidades!$M$2:$M$170,MATCH("A3o",Probabilidades!$A$2:$A$170,0))</f>
        <v>0.0799911268855368</v>
      </c>
      <c r="C14" s="10" t="n">
        <f aca="false">INDEX(Probabilidades!$M$2:$M$170,MATCH("K3o",Probabilidades!$A$2:$A$170,0))</f>
        <v>0.0666710717589534</v>
      </c>
      <c r="D14" s="10" t="n">
        <f aca="false">INDEX(Probabilidades!$M$2:$M$170,MATCH("Q3o",Probabilidades!$A$2:$A$170,0))</f>
        <v>0.0704270422322491</v>
      </c>
      <c r="E14" s="10" t="n">
        <f aca="false">INDEX(Probabilidades!$M$2:$M$170,MATCH("J3o",Probabilidades!$A$2:$A$170,0))</f>
        <v>0.0741830127055448</v>
      </c>
      <c r="F14" s="10" t="n">
        <f aca="false">INDEX(Probabilidades!$M$2:$M$170,MATCH("T3o",Probabilidades!$A$2:$A$170,0))</f>
        <v>0.0779389831788405</v>
      </c>
      <c r="G14" s="10" t="n">
        <f aca="false">INDEX(Probabilidades!$M$2:$M$170,MATCH("93o",Probabilidades!$A$2:$A$170,0))</f>
        <v>0.077471728747003</v>
      </c>
      <c r="H14" s="10" t="n">
        <f aca="false">INDEX(Probabilidades!$M$2:$M$170,MATCH("83o",Probabilidades!$A$2:$A$170,0))</f>
        <v>0.0737157582737073</v>
      </c>
      <c r="I14" s="10" t="n">
        <f aca="false">INDEX(Probabilidades!$M$2:$M$170,MATCH("73o",Probabilidades!$A$2:$A$170,0))</f>
        <v>0.0870358134002907</v>
      </c>
      <c r="J14" s="10" t="n">
        <f aca="false">INDEX(Probabilidades!$M$2:$M$170,MATCH("63o",Probabilidades!$A$2:$A$170,0))</f>
        <v>0.100355868526874</v>
      </c>
      <c r="K14" s="10" t="n">
        <f aca="false">INDEX(Probabilidades!$M$2:$M$170,MATCH("53o",Probabilidades!$A$2:$A$170,0))</f>
        <v>0.117899148558591</v>
      </c>
      <c r="L14" s="10" t="n">
        <f aca="false">INDEX(Probabilidades!$M$2:$M$170,MATCH("43o",Probabilidades!$A$2:$A$170,0))</f>
        <v>0.114143178085295</v>
      </c>
      <c r="M14" s="10" t="n">
        <f aca="false">INDEX(Probabilidades!$M$2:$M$170,MATCH("33",Probabilidades!$A$2:$A$170,0))</f>
        <v>0.129558798542544</v>
      </c>
      <c r="N14" s="10" t="n">
        <f aca="false">INDEX(Probabilidades!$M$2:$M$170,MATCH("32s",Probabilidades!$A$2:$A$170,0))</f>
        <v>0.136316996733939</v>
      </c>
    </row>
    <row r="15" customFormat="false" ht="15" hidden="false" customHeight="false" outlineLevel="0" collapsed="false">
      <c r="A15" s="9" t="s">
        <v>212</v>
      </c>
      <c r="B15" s="10" t="n">
        <f aca="false">INDEX(Probabilidades!$M$2:$M$170,MATCH("A2o",Probabilidades!$A$2:$A$170,0))</f>
        <v>0.0762351564122411</v>
      </c>
      <c r="C15" s="10" t="n">
        <f aca="false">INDEX(Probabilidades!$M$2:$M$170,MATCH("K2o",Probabilidades!$A$2:$A$170,0))</f>
        <v>0.0629151012856577</v>
      </c>
      <c r="D15" s="10" t="n">
        <f aca="false">INDEX(Probabilidades!$M$2:$M$170,MATCH("Q2o",Probabilidades!$A$2:$A$170,0))</f>
        <v>0.0666710717589534</v>
      </c>
      <c r="E15" s="10" t="n">
        <f aca="false">INDEX(Probabilidades!$M$2:$M$170,MATCH("J2o",Probabilidades!$A$2:$A$170,0))</f>
        <v>0.0704270422322491</v>
      </c>
      <c r="F15" s="10" t="n">
        <f aca="false">INDEX(Probabilidades!$M$2:$M$170,MATCH("T2o",Probabilidades!$A$2:$A$170,0))</f>
        <v>0.0741830127055448</v>
      </c>
      <c r="G15" s="10" t="n">
        <f aca="false">INDEX(Probabilidades!$M$2:$M$170,MATCH("92o",Probabilidades!$A$2:$A$170,0))</f>
        <v>0.0737157582737073</v>
      </c>
      <c r="H15" s="10" t="n">
        <f aca="false">INDEX(Probabilidades!$M$2:$M$170,MATCH("82o",Probabilidades!$A$2:$A$170,0))</f>
        <v>0.0737157582737073</v>
      </c>
      <c r="I15" s="10" t="n">
        <f aca="false">INDEX(Probabilidades!$M$2:$M$170,MATCH("72o",Probabilidades!$A$2:$A$170,0))</f>
        <v>0.0699597878004116</v>
      </c>
      <c r="J15" s="10" t="n">
        <f aca="false">INDEX(Probabilidades!$M$2:$M$170,MATCH("62o",Probabilidades!$A$2:$A$170,0))</f>
        <v>0.083279842926995</v>
      </c>
      <c r="K15" s="10" t="n">
        <f aca="false">INDEX(Probabilidades!$M$2:$M$170,MATCH("52o",Probabilidades!$A$2:$A$170,0))</f>
        <v>0.100823122958712</v>
      </c>
      <c r="L15" s="10" t="n">
        <f aca="false">INDEX(Probabilidades!$M$2:$M$170,MATCH("42o",Probabilidades!$A$2:$A$170,0))</f>
        <v>0.097067152485416</v>
      </c>
      <c r="M15" s="10" t="n">
        <f aca="false">INDEX(Probabilidades!$M$2:$M$170,MATCH("32o",Probabilidades!$A$2:$A$170,0))</f>
        <v>0.0933111820121203</v>
      </c>
      <c r="N15" s="10" t="n">
        <f aca="false">INDEX(Probabilidades!$M$2:$M$170,MATCH("22",Probabilidades!$A$2:$A$170,0))</f>
        <v>0.125802828069248</v>
      </c>
    </row>
    <row r="18" customFormat="false" ht="15" hidden="false" customHeight="false" outlineLevel="0" collapsed="false">
      <c r="A18" s="8" t="s">
        <v>213</v>
      </c>
    </row>
    <row r="19" customFormat="false" ht="15" hidden="false" customHeight="false" outlineLevel="0" collapsed="false">
      <c r="B19" s="9" t="s">
        <v>200</v>
      </c>
      <c r="C19" s="9" t="s">
        <v>201</v>
      </c>
      <c r="D19" s="9" t="s">
        <v>202</v>
      </c>
      <c r="E19" s="9" t="s">
        <v>203</v>
      </c>
      <c r="F19" s="9" t="s">
        <v>204</v>
      </c>
      <c r="G19" s="9" t="s">
        <v>205</v>
      </c>
      <c r="H19" s="9" t="s">
        <v>206</v>
      </c>
      <c r="I19" s="9" t="s">
        <v>207</v>
      </c>
      <c r="J19" s="9" t="s">
        <v>208</v>
      </c>
      <c r="K19" s="9" t="s">
        <v>209</v>
      </c>
      <c r="L19" s="9" t="s">
        <v>210</v>
      </c>
      <c r="M19" s="9" t="s">
        <v>211</v>
      </c>
      <c r="N19" s="9" t="s">
        <v>212</v>
      </c>
    </row>
    <row r="20" customFormat="false" ht="15" hidden="false" customHeight="false" outlineLevel="0" collapsed="false">
      <c r="A20" s="9" t="s">
        <v>200</v>
      </c>
      <c r="B20" s="10" t="n">
        <f aca="false">INDEX(Probabilidades!$N$2:$N$170,MATCH("AA",Probabilidades!$A$2:$A$170,0))</f>
        <v>0.113618342804282</v>
      </c>
      <c r="C20" s="10" t="n">
        <f aca="false">INDEX(Probabilidades!$N$2:$N$170,MATCH("AKs",Probabilidades!$A$2:$A$170,0))</f>
        <v>0.0893211123487323</v>
      </c>
      <c r="D20" s="10" t="n">
        <f aca="false">INDEX(Probabilidades!$N$2:$N$170,MATCH("AQs",Probabilidades!$A$2:$A$170,0))</f>
        <v>0.0893211123487323</v>
      </c>
      <c r="E20" s="10" t="n">
        <f aca="false">INDEX(Probabilidades!$N$2:$N$170,MATCH("AJs",Probabilidades!$A$2:$A$170,0))</f>
        <v>0.0893211123487323</v>
      </c>
      <c r="F20" s="10" t="n">
        <f aca="false">INDEX(Probabilidades!$N$2:$N$170,MATCH("ATs",Probabilidades!$A$2:$A$170,0))</f>
        <v>0.0893211123487323</v>
      </c>
      <c r="G20" s="10" t="n">
        <f aca="false">INDEX(Probabilidades!$N$2:$N$170,MATCH("A9s",Probabilidades!$A$2:$A$170,0))</f>
        <v>0.0893211123487323</v>
      </c>
      <c r="H20" s="10" t="n">
        <f aca="false">INDEX(Probabilidades!$N$2:$N$170,MATCH("A8s",Probabilidades!$A$2:$A$170,0))</f>
        <v>0.0893211123487323</v>
      </c>
      <c r="I20" s="10" t="n">
        <f aca="false">INDEX(Probabilidades!$N$2:$N$170,MATCH("A7s",Probabilidades!$A$2:$A$170,0))</f>
        <v>0.0893211123487323</v>
      </c>
      <c r="J20" s="10" t="n">
        <f aca="false">INDEX(Probabilidades!$N$2:$N$170,MATCH("A6s",Probabilidades!$A$2:$A$170,0))</f>
        <v>0.0893211123487323</v>
      </c>
      <c r="K20" s="10" t="n">
        <f aca="false">INDEX(Probabilidades!$N$2:$N$170,MATCH("A5s",Probabilidades!$A$2:$A$170,0))</f>
        <v>0.0893211123487323</v>
      </c>
      <c r="L20" s="10" t="n">
        <f aca="false">INDEX(Probabilidades!$N$2:$N$170,MATCH("A4s",Probabilidades!$A$2:$A$170,0))</f>
        <v>0.0893211123487323</v>
      </c>
      <c r="M20" s="10" t="n">
        <f aca="false">INDEX(Probabilidades!$N$2:$N$170,MATCH("A3s",Probabilidades!$A$2:$A$170,0))</f>
        <v>0.0893211123487323</v>
      </c>
      <c r="N20" s="10" t="n">
        <f aca="false">INDEX(Probabilidades!$N$2:$N$170,MATCH("A2s",Probabilidades!$A$2:$A$170,0))</f>
        <v>0.0893211123487323</v>
      </c>
    </row>
    <row r="21" customFormat="false" ht="15" hidden="false" customHeight="false" outlineLevel="0" collapsed="false">
      <c r="A21" s="9" t="s">
        <v>201</v>
      </c>
      <c r="B21" s="10" t="n">
        <f aca="false">INDEX(Probabilidades!$N$2:$N$170,MATCH("AKo",Probabilidades!$A$2:$A$170,0))</f>
        <v>0.0432186750740999</v>
      </c>
      <c r="C21" s="10" t="n">
        <f aca="false">INDEX(Probabilidades!$N$2:$N$170,MATCH("KK",Probabilidades!$A$2:$A$170,0))</f>
        <v>0.113618342804282</v>
      </c>
      <c r="D21" s="10" t="n">
        <f aca="false">INDEX(Probabilidades!$N$2:$N$170,MATCH("KQs",Probabilidades!$A$2:$A$170,0))</f>
        <v>0.0893211123487323</v>
      </c>
      <c r="E21" s="10" t="n">
        <f aca="false">INDEX(Probabilidades!$N$2:$N$170,MATCH("KJs",Probabilidades!$A$2:$A$170,0))</f>
        <v>0.0893211123487323</v>
      </c>
      <c r="F21" s="10" t="n">
        <f aca="false">INDEX(Probabilidades!$N$2:$N$170,MATCH("KTs",Probabilidades!$A$2:$A$170,0))</f>
        <v>0.0893211123487323</v>
      </c>
      <c r="G21" s="10" t="n">
        <f aca="false">INDEX(Probabilidades!$N$2:$N$170,MATCH("K9s",Probabilidades!$A$2:$A$170,0))</f>
        <v>0.0893211123487323</v>
      </c>
      <c r="H21" s="10" t="n">
        <f aca="false">INDEX(Probabilidades!$N$2:$N$170,MATCH("K8s",Probabilidades!$A$2:$A$170,0))</f>
        <v>0.0893211123487323</v>
      </c>
      <c r="I21" s="10" t="n">
        <f aca="false">INDEX(Probabilidades!$N$2:$N$170,MATCH("K7s",Probabilidades!$A$2:$A$170,0))</f>
        <v>0.0893211123487323</v>
      </c>
      <c r="J21" s="10" t="n">
        <f aca="false">INDEX(Probabilidades!$N$2:$N$170,MATCH("K6s",Probabilidades!$A$2:$A$170,0))</f>
        <v>0.0893211123487323</v>
      </c>
      <c r="K21" s="10" t="n">
        <f aca="false">INDEX(Probabilidades!$N$2:$N$170,MATCH("K5s",Probabilidades!$A$2:$A$170,0))</f>
        <v>0.0893211123487323</v>
      </c>
      <c r="L21" s="10" t="n">
        <f aca="false">INDEX(Probabilidades!$N$2:$N$170,MATCH("K4s",Probabilidades!$A$2:$A$170,0))</f>
        <v>0.0893211123487323</v>
      </c>
      <c r="M21" s="10" t="n">
        <f aca="false">INDEX(Probabilidades!$N$2:$N$170,MATCH("K3s",Probabilidades!$A$2:$A$170,0))</f>
        <v>0.0893211123487323</v>
      </c>
      <c r="N21" s="10" t="n">
        <f aca="false">INDEX(Probabilidades!$N$2:$N$170,MATCH("K2s",Probabilidades!$A$2:$A$170,0))</f>
        <v>0.0893211123487323</v>
      </c>
    </row>
    <row r="22" customFormat="false" ht="15" hidden="false" customHeight="false" outlineLevel="0" collapsed="false">
      <c r="A22" s="9" t="s">
        <v>202</v>
      </c>
      <c r="B22" s="10" t="n">
        <f aca="false">INDEX(Probabilidades!$N$2:$N$170,MATCH("AQo",Probabilidades!$A$2:$A$170,0))</f>
        <v>0.0432186750740999</v>
      </c>
      <c r="C22" s="10" t="n">
        <f aca="false">INDEX(Probabilidades!$N$2:$N$170,MATCH("KQo",Probabilidades!$A$2:$A$170,0))</f>
        <v>0.0432186750740999</v>
      </c>
      <c r="D22" s="10" t="n">
        <f aca="false">INDEX(Probabilidades!$N$2:$N$170,MATCH("QQ",Probabilidades!$A$2:$A$170,0))</f>
        <v>0.113618342804282</v>
      </c>
      <c r="E22" s="10" t="n">
        <f aca="false">INDEX(Probabilidades!$N$2:$N$170,MATCH("QJs",Probabilidades!$A$2:$A$170,0))</f>
        <v>0.0893211123487323</v>
      </c>
      <c r="F22" s="10" t="n">
        <f aca="false">INDEX(Probabilidades!$N$2:$N$170,MATCH("QTs",Probabilidades!$A$2:$A$170,0))</f>
        <v>0.0893211123487323</v>
      </c>
      <c r="G22" s="10" t="n">
        <f aca="false">INDEX(Probabilidades!$N$2:$N$170,MATCH("Q9s",Probabilidades!$A$2:$A$170,0))</f>
        <v>0.0893211123487323</v>
      </c>
      <c r="H22" s="10" t="n">
        <f aca="false">INDEX(Probabilidades!$N$2:$N$170,MATCH("Q8s",Probabilidades!$A$2:$A$170,0))</f>
        <v>0.0893211123487323</v>
      </c>
      <c r="I22" s="10" t="n">
        <f aca="false">INDEX(Probabilidades!$N$2:$N$170,MATCH("Q7s",Probabilidades!$A$2:$A$170,0))</f>
        <v>0.0893211123487323</v>
      </c>
      <c r="J22" s="10" t="n">
        <f aca="false">INDEX(Probabilidades!$N$2:$N$170,MATCH("Q6s",Probabilidades!$A$2:$A$170,0))</f>
        <v>0.0893211123487323</v>
      </c>
      <c r="K22" s="10" t="n">
        <f aca="false">INDEX(Probabilidades!$N$2:$N$170,MATCH("Q5s",Probabilidades!$A$2:$A$170,0))</f>
        <v>0.0893211123487323</v>
      </c>
      <c r="L22" s="10" t="n">
        <f aca="false">INDEX(Probabilidades!$N$2:$N$170,MATCH("Q4s",Probabilidades!$A$2:$A$170,0))</f>
        <v>0.0893211123487323</v>
      </c>
      <c r="M22" s="10" t="n">
        <f aca="false">INDEX(Probabilidades!$N$2:$N$170,MATCH("Q3s",Probabilidades!$A$2:$A$170,0))</f>
        <v>0.0893211123487323</v>
      </c>
      <c r="N22" s="10" t="n">
        <f aca="false">INDEX(Probabilidades!$N$2:$N$170,MATCH("Q2s",Probabilidades!$A$2:$A$170,0))</f>
        <v>0.0893211123487323</v>
      </c>
    </row>
    <row r="23" customFormat="false" ht="15" hidden="false" customHeight="false" outlineLevel="0" collapsed="false">
      <c r="A23" s="9" t="s">
        <v>203</v>
      </c>
      <c r="B23" s="10" t="n">
        <f aca="false">INDEX(Probabilidades!$N$2:$N$170,MATCH("AJo",Probabilidades!$A$2:$A$170,0))</f>
        <v>0.0432186750740999</v>
      </c>
      <c r="C23" s="10" t="n">
        <f aca="false">INDEX(Probabilidades!$N$2:$N$170,MATCH("KJo",Probabilidades!$A$2:$A$170,0))</f>
        <v>0.0432186750740999</v>
      </c>
      <c r="D23" s="10" t="n">
        <f aca="false">INDEX(Probabilidades!$N$2:$N$170,MATCH("QJo",Probabilidades!$A$2:$A$170,0))</f>
        <v>0.0432186750740999</v>
      </c>
      <c r="E23" s="10" t="n">
        <f aca="false">INDEX(Probabilidades!$N$2:$N$170,MATCH("JJ",Probabilidades!$A$2:$A$170,0))</f>
        <v>0.113618342804282</v>
      </c>
      <c r="F23" s="10" t="n">
        <f aca="false">INDEX(Probabilidades!$N$2:$N$170,MATCH("JTs",Probabilidades!$A$2:$A$170,0))</f>
        <v>0.0893211123487323</v>
      </c>
      <c r="G23" s="10" t="n">
        <f aca="false">INDEX(Probabilidades!$N$2:$N$170,MATCH("J9s",Probabilidades!$A$2:$A$170,0))</f>
        <v>0.0893211123487323</v>
      </c>
      <c r="H23" s="10" t="n">
        <f aca="false">INDEX(Probabilidades!$N$2:$N$170,MATCH("J8s",Probabilidades!$A$2:$A$170,0))</f>
        <v>0.0893211123487323</v>
      </c>
      <c r="I23" s="10" t="n">
        <f aca="false">INDEX(Probabilidades!$N$2:$N$170,MATCH("J7s",Probabilidades!$A$2:$A$170,0))</f>
        <v>0.0893211123487323</v>
      </c>
      <c r="J23" s="10" t="n">
        <f aca="false">INDEX(Probabilidades!$N$2:$N$170,MATCH("J6s",Probabilidades!$A$2:$A$170,0))</f>
        <v>0.0893211123487323</v>
      </c>
      <c r="K23" s="10" t="n">
        <f aca="false">INDEX(Probabilidades!$N$2:$N$170,MATCH("J5s",Probabilidades!$A$2:$A$170,0))</f>
        <v>0.0893211123487323</v>
      </c>
      <c r="L23" s="10" t="n">
        <f aca="false">INDEX(Probabilidades!$N$2:$N$170,MATCH("J4s",Probabilidades!$A$2:$A$170,0))</f>
        <v>0.0893211123487323</v>
      </c>
      <c r="M23" s="10" t="n">
        <f aca="false">INDEX(Probabilidades!$N$2:$N$170,MATCH("J3s",Probabilidades!$A$2:$A$170,0))</f>
        <v>0.0893211123487323</v>
      </c>
      <c r="N23" s="10" t="n">
        <f aca="false">INDEX(Probabilidades!$N$2:$N$170,MATCH("J2s",Probabilidades!$A$2:$A$170,0))</f>
        <v>0.0893211123487323</v>
      </c>
    </row>
    <row r="24" customFormat="false" ht="15" hidden="false" customHeight="false" outlineLevel="0" collapsed="false">
      <c r="A24" s="9" t="s">
        <v>204</v>
      </c>
      <c r="B24" s="10" t="n">
        <f aca="false">INDEX(Probabilidades!$N$2:$N$170,MATCH("ATo",Probabilidades!$A$2:$A$170,0))</f>
        <v>0.0432186750740999</v>
      </c>
      <c r="C24" s="10" t="n">
        <f aca="false">INDEX(Probabilidades!$N$2:$N$170,MATCH("KTo",Probabilidades!$A$2:$A$170,0))</f>
        <v>0.0432186750740999</v>
      </c>
      <c r="D24" s="10" t="n">
        <f aca="false">INDEX(Probabilidades!$N$2:$N$170,MATCH("QTo",Probabilidades!$A$2:$A$170,0))</f>
        <v>0.0432186750740999</v>
      </c>
      <c r="E24" s="10" t="n">
        <f aca="false">INDEX(Probabilidades!$N$2:$N$170,MATCH("JTo",Probabilidades!$A$2:$A$170,0))</f>
        <v>0.0432186750740999</v>
      </c>
      <c r="F24" s="10" t="n">
        <f aca="false">INDEX(Probabilidades!$N$2:$N$170,MATCH("TT",Probabilidades!$A$2:$A$170,0))</f>
        <v>0.113618342804282</v>
      </c>
      <c r="G24" s="10" t="n">
        <f aca="false">INDEX(Probabilidades!$N$2:$N$170,MATCH("T9s",Probabilidades!$A$2:$A$170,0))</f>
        <v>0.0893211123487323</v>
      </c>
      <c r="H24" s="10" t="n">
        <f aca="false">INDEX(Probabilidades!$N$2:$N$170,MATCH("T8s",Probabilidades!$A$2:$A$170,0))</f>
        <v>0.0893211123487323</v>
      </c>
      <c r="I24" s="10" t="n">
        <f aca="false">INDEX(Probabilidades!$N$2:$N$170,MATCH("T7s",Probabilidades!$A$2:$A$170,0))</f>
        <v>0.0893211123487323</v>
      </c>
      <c r="J24" s="10" t="n">
        <f aca="false">INDEX(Probabilidades!$N$2:$N$170,MATCH("T6s",Probabilidades!$A$2:$A$170,0))</f>
        <v>0.0893211123487323</v>
      </c>
      <c r="K24" s="10" t="n">
        <f aca="false">INDEX(Probabilidades!$N$2:$N$170,MATCH("T5s",Probabilidades!$A$2:$A$170,0))</f>
        <v>0.0893211123487323</v>
      </c>
      <c r="L24" s="10" t="n">
        <f aca="false">INDEX(Probabilidades!$N$2:$N$170,MATCH("T4s",Probabilidades!$A$2:$A$170,0))</f>
        <v>0.0893211123487323</v>
      </c>
      <c r="M24" s="10" t="n">
        <f aca="false">INDEX(Probabilidades!$N$2:$N$170,MATCH("T3s",Probabilidades!$A$2:$A$170,0))</f>
        <v>0.0893211123487323</v>
      </c>
      <c r="N24" s="10" t="n">
        <f aca="false">INDEX(Probabilidades!$N$2:$N$170,MATCH("T2s",Probabilidades!$A$2:$A$170,0))</f>
        <v>0.0893211123487323</v>
      </c>
    </row>
    <row r="25" customFormat="false" ht="15" hidden="false" customHeight="false" outlineLevel="0" collapsed="false">
      <c r="A25" s="9" t="s">
        <v>205</v>
      </c>
      <c r="B25" s="10" t="n">
        <f aca="false">INDEX(Probabilidades!$N$2:$N$170,MATCH("A9o",Probabilidades!$A$2:$A$170,0))</f>
        <v>0.0432186750740999</v>
      </c>
      <c r="C25" s="10" t="n">
        <f aca="false">INDEX(Probabilidades!$N$2:$N$170,MATCH("K9o",Probabilidades!$A$2:$A$170,0))</f>
        <v>0.0432186750740999</v>
      </c>
      <c r="D25" s="10" t="n">
        <f aca="false">INDEX(Probabilidades!$N$2:$N$170,MATCH("Q9o",Probabilidades!$A$2:$A$170,0))</f>
        <v>0.0432186750740999</v>
      </c>
      <c r="E25" s="10" t="n">
        <f aca="false">INDEX(Probabilidades!$N$2:$N$170,MATCH("J9o",Probabilidades!$A$2:$A$170,0))</f>
        <v>0.0432186750740999</v>
      </c>
      <c r="F25" s="10" t="n">
        <f aca="false">INDEX(Probabilidades!$N$2:$N$170,MATCH("T9o",Probabilidades!$A$2:$A$170,0))</f>
        <v>0.0432186750740999</v>
      </c>
      <c r="G25" s="10" t="n">
        <f aca="false">INDEX(Probabilidades!$N$2:$N$170,MATCH("99",Probabilidades!$A$2:$A$170,0))</f>
        <v>0.113618342804282</v>
      </c>
      <c r="H25" s="10" t="n">
        <f aca="false">INDEX(Probabilidades!$N$2:$N$170,MATCH("98s",Probabilidades!$A$2:$A$170,0))</f>
        <v>0.0893211123487323</v>
      </c>
      <c r="I25" s="10" t="n">
        <f aca="false">INDEX(Probabilidades!$N$2:$N$170,MATCH("97s",Probabilidades!$A$2:$A$170,0))</f>
        <v>0.0893211123487323</v>
      </c>
      <c r="J25" s="10" t="n">
        <f aca="false">INDEX(Probabilidades!$N$2:$N$170,MATCH("96s",Probabilidades!$A$2:$A$170,0))</f>
        <v>0.0893211123487323</v>
      </c>
      <c r="K25" s="10" t="n">
        <f aca="false">INDEX(Probabilidades!$N$2:$N$170,MATCH("95s",Probabilidades!$A$2:$A$170,0))</f>
        <v>0.0893211123487323</v>
      </c>
      <c r="L25" s="10" t="n">
        <f aca="false">INDEX(Probabilidades!$N$2:$N$170,MATCH("94s",Probabilidades!$A$2:$A$170,0))</f>
        <v>0.0893211123487323</v>
      </c>
      <c r="M25" s="10" t="n">
        <f aca="false">INDEX(Probabilidades!$N$2:$N$170,MATCH("93s",Probabilidades!$A$2:$A$170,0))</f>
        <v>0.0893211123487323</v>
      </c>
      <c r="N25" s="10" t="n">
        <f aca="false">INDEX(Probabilidades!$N$2:$N$170,MATCH("92s",Probabilidades!$A$2:$A$170,0))</f>
        <v>0.0893211123487323</v>
      </c>
    </row>
    <row r="26" customFormat="false" ht="15" hidden="false" customHeight="false" outlineLevel="0" collapsed="false">
      <c r="A26" s="9" t="s">
        <v>206</v>
      </c>
      <c r="B26" s="10" t="n">
        <f aca="false">INDEX(Probabilidades!$N$2:$N$170,MATCH("A8o",Probabilidades!$A$2:$A$170,0))</f>
        <v>0.0432186750740999</v>
      </c>
      <c r="C26" s="10" t="n">
        <f aca="false">INDEX(Probabilidades!$N$2:$N$170,MATCH("K8o",Probabilidades!$A$2:$A$170,0))</f>
        <v>0.0432186750740999</v>
      </c>
      <c r="D26" s="10" t="n">
        <f aca="false">INDEX(Probabilidades!$N$2:$N$170,MATCH("Q8o",Probabilidades!$A$2:$A$170,0))</f>
        <v>0.0432186750740999</v>
      </c>
      <c r="E26" s="10" t="n">
        <f aca="false">INDEX(Probabilidades!$N$2:$N$170,MATCH("J8o",Probabilidades!$A$2:$A$170,0))</f>
        <v>0.0432186750740999</v>
      </c>
      <c r="F26" s="10" t="n">
        <f aca="false">INDEX(Probabilidades!$N$2:$N$170,MATCH("T8o",Probabilidades!$A$2:$A$170,0))</f>
        <v>0.0432186750740999</v>
      </c>
      <c r="G26" s="10" t="n">
        <f aca="false">INDEX(Probabilidades!$N$2:$N$170,MATCH("98o",Probabilidades!$A$2:$A$170,0))</f>
        <v>0.0432186750740999</v>
      </c>
      <c r="H26" s="10" t="n">
        <f aca="false">INDEX(Probabilidades!$N$2:$N$170,MATCH("88",Probabilidades!$A$2:$A$170,0))</f>
        <v>0.113618342804282</v>
      </c>
      <c r="I26" s="10" t="n">
        <f aca="false">INDEX(Probabilidades!$N$2:$N$170,MATCH("87s",Probabilidades!$A$2:$A$170,0))</f>
        <v>0.0893211123487323</v>
      </c>
      <c r="J26" s="10" t="n">
        <f aca="false">INDEX(Probabilidades!$N$2:$N$170,MATCH("86s",Probabilidades!$A$2:$A$170,0))</f>
        <v>0.0893211123487323</v>
      </c>
      <c r="K26" s="10" t="n">
        <f aca="false">INDEX(Probabilidades!$N$2:$N$170,MATCH("85s",Probabilidades!$A$2:$A$170,0))</f>
        <v>0.0893211123487323</v>
      </c>
      <c r="L26" s="10" t="n">
        <f aca="false">INDEX(Probabilidades!$N$2:$N$170,MATCH("84s",Probabilidades!$A$2:$A$170,0))</f>
        <v>0.0893211123487323</v>
      </c>
      <c r="M26" s="10" t="n">
        <f aca="false">INDEX(Probabilidades!$N$2:$N$170,MATCH("83s",Probabilidades!$A$2:$A$170,0))</f>
        <v>0.0893211123487323</v>
      </c>
      <c r="N26" s="10" t="n">
        <f aca="false">INDEX(Probabilidades!$N$2:$N$170,MATCH("82s",Probabilidades!$A$2:$A$170,0))</f>
        <v>0.0893211123487323</v>
      </c>
    </row>
    <row r="27" customFormat="false" ht="15" hidden="false" customHeight="false" outlineLevel="0" collapsed="false">
      <c r="A27" s="9" t="s">
        <v>207</v>
      </c>
      <c r="B27" s="10" t="n">
        <f aca="false">INDEX(Probabilidades!$N$2:$N$170,MATCH("A7o",Probabilidades!$A$2:$A$170,0))</f>
        <v>0.0432186750740999</v>
      </c>
      <c r="C27" s="10" t="n">
        <f aca="false">INDEX(Probabilidades!$N$2:$N$170,MATCH("K7o",Probabilidades!$A$2:$A$170,0))</f>
        <v>0.0432186750740999</v>
      </c>
      <c r="D27" s="10" t="n">
        <f aca="false">INDEX(Probabilidades!$N$2:$N$170,MATCH("Q7o",Probabilidades!$A$2:$A$170,0))</f>
        <v>0.0432186750740999</v>
      </c>
      <c r="E27" s="10" t="n">
        <f aca="false">INDEX(Probabilidades!$N$2:$N$170,MATCH("J7o",Probabilidades!$A$2:$A$170,0))</f>
        <v>0.0432186750740999</v>
      </c>
      <c r="F27" s="10" t="n">
        <f aca="false">INDEX(Probabilidades!$N$2:$N$170,MATCH("T7o",Probabilidades!$A$2:$A$170,0))</f>
        <v>0.0432186750740999</v>
      </c>
      <c r="G27" s="10" t="n">
        <f aca="false">INDEX(Probabilidades!$N$2:$N$170,MATCH("97o",Probabilidades!$A$2:$A$170,0))</f>
        <v>0.0432186750740999</v>
      </c>
      <c r="H27" s="10" t="n">
        <f aca="false">INDEX(Probabilidades!$N$2:$N$170,MATCH("87o",Probabilidades!$A$2:$A$170,0))</f>
        <v>0.0432186750740999</v>
      </c>
      <c r="I27" s="10" t="n">
        <f aca="false">INDEX(Probabilidades!$N$2:$N$170,MATCH("77",Probabilidades!$A$2:$A$170,0))</f>
        <v>0.113618342804282</v>
      </c>
      <c r="J27" s="10" t="n">
        <f aca="false">INDEX(Probabilidades!$N$2:$N$170,MATCH("76s",Probabilidades!$A$2:$A$170,0))</f>
        <v>0.0893211123487323</v>
      </c>
      <c r="K27" s="10" t="n">
        <f aca="false">INDEX(Probabilidades!$N$2:$N$170,MATCH("75s",Probabilidades!$A$2:$A$170,0))</f>
        <v>0.0893211123487323</v>
      </c>
      <c r="L27" s="10" t="n">
        <f aca="false">INDEX(Probabilidades!$N$2:$N$170,MATCH("74s",Probabilidades!$A$2:$A$170,0))</f>
        <v>0.0893211123487323</v>
      </c>
      <c r="M27" s="10" t="n">
        <f aca="false">INDEX(Probabilidades!$N$2:$N$170,MATCH("73s",Probabilidades!$A$2:$A$170,0))</f>
        <v>0.0893211123487323</v>
      </c>
      <c r="N27" s="10" t="n">
        <f aca="false">INDEX(Probabilidades!$N$2:$N$170,MATCH("72s",Probabilidades!$A$2:$A$170,0))</f>
        <v>0.0893211123487323</v>
      </c>
    </row>
    <row r="28" customFormat="false" ht="15" hidden="false" customHeight="false" outlineLevel="0" collapsed="false">
      <c r="A28" s="9" t="s">
        <v>208</v>
      </c>
      <c r="B28" s="10" t="n">
        <f aca="false">INDEX(Probabilidades!$N$2:$N$170,MATCH("A6o",Probabilidades!$A$2:$A$170,0))</f>
        <v>0.0432186750740999</v>
      </c>
      <c r="C28" s="10" t="n">
        <f aca="false">INDEX(Probabilidades!$N$2:$N$170,MATCH("K6o",Probabilidades!$A$2:$A$170,0))</f>
        <v>0.0432186750740999</v>
      </c>
      <c r="D28" s="10" t="n">
        <f aca="false">INDEX(Probabilidades!$N$2:$N$170,MATCH("Q6o",Probabilidades!$A$2:$A$170,0))</f>
        <v>0.0432186750740999</v>
      </c>
      <c r="E28" s="10" t="n">
        <f aca="false">INDEX(Probabilidades!$N$2:$N$170,MATCH("J6o",Probabilidades!$A$2:$A$170,0))</f>
        <v>0.0432186750740999</v>
      </c>
      <c r="F28" s="10" t="n">
        <f aca="false">INDEX(Probabilidades!$N$2:$N$170,MATCH("T6o",Probabilidades!$A$2:$A$170,0))</f>
        <v>0.0432186750740999</v>
      </c>
      <c r="G28" s="10" t="n">
        <f aca="false">INDEX(Probabilidades!$N$2:$N$170,MATCH("96o",Probabilidades!$A$2:$A$170,0))</f>
        <v>0.0432186750740999</v>
      </c>
      <c r="H28" s="10" t="n">
        <f aca="false">INDEX(Probabilidades!$N$2:$N$170,MATCH("86o",Probabilidades!$A$2:$A$170,0))</f>
        <v>0.0432186750740999</v>
      </c>
      <c r="I28" s="10" t="n">
        <f aca="false">INDEX(Probabilidades!$N$2:$N$170,MATCH("76o",Probabilidades!$A$2:$A$170,0))</f>
        <v>0.0432186750740999</v>
      </c>
      <c r="J28" s="10" t="n">
        <f aca="false">INDEX(Probabilidades!$N$2:$N$170,MATCH("66",Probabilidades!$A$2:$A$170,0))</f>
        <v>0.113618342804282</v>
      </c>
      <c r="K28" s="10" t="n">
        <f aca="false">INDEX(Probabilidades!$N$2:$N$170,MATCH("65s",Probabilidades!$A$2:$A$170,0))</f>
        <v>0.0893211123487323</v>
      </c>
      <c r="L28" s="10" t="n">
        <f aca="false">INDEX(Probabilidades!$N$2:$N$170,MATCH("64s",Probabilidades!$A$2:$A$170,0))</f>
        <v>0.0893211123487323</v>
      </c>
      <c r="M28" s="10" t="n">
        <f aca="false">INDEX(Probabilidades!$N$2:$N$170,MATCH("63s",Probabilidades!$A$2:$A$170,0))</f>
        <v>0.0893211123487323</v>
      </c>
      <c r="N28" s="10" t="n">
        <f aca="false">INDEX(Probabilidades!$N$2:$N$170,MATCH("62s",Probabilidades!$A$2:$A$170,0))</f>
        <v>0.0893211123487323</v>
      </c>
    </row>
    <row r="29" customFormat="false" ht="15" hidden="false" customHeight="false" outlineLevel="0" collapsed="false">
      <c r="A29" s="9" t="s">
        <v>209</v>
      </c>
      <c r="B29" s="10" t="n">
        <f aca="false">INDEX(Probabilidades!$N$2:$N$170,MATCH("A5o",Probabilidades!$A$2:$A$170,0))</f>
        <v>0.0432186750740999</v>
      </c>
      <c r="C29" s="10" t="n">
        <f aca="false">INDEX(Probabilidades!$N$2:$N$170,MATCH("K5o",Probabilidades!$A$2:$A$170,0))</f>
        <v>0.0432186750740999</v>
      </c>
      <c r="D29" s="10" t="n">
        <f aca="false">INDEX(Probabilidades!$N$2:$N$170,MATCH("Q5o",Probabilidades!$A$2:$A$170,0))</f>
        <v>0.0432186750740999</v>
      </c>
      <c r="E29" s="10" t="n">
        <f aca="false">INDEX(Probabilidades!$N$2:$N$170,MATCH("J5o",Probabilidades!$A$2:$A$170,0))</f>
        <v>0.0432186750740999</v>
      </c>
      <c r="F29" s="10" t="n">
        <f aca="false">INDEX(Probabilidades!$N$2:$N$170,MATCH("T5o",Probabilidades!$A$2:$A$170,0))</f>
        <v>0.0432186750740999</v>
      </c>
      <c r="G29" s="10" t="n">
        <f aca="false">INDEX(Probabilidades!$N$2:$N$170,MATCH("95o",Probabilidades!$A$2:$A$170,0))</f>
        <v>0.0432186750740999</v>
      </c>
      <c r="H29" s="10" t="n">
        <f aca="false">INDEX(Probabilidades!$N$2:$N$170,MATCH("85o",Probabilidades!$A$2:$A$170,0))</f>
        <v>0.0432186750740999</v>
      </c>
      <c r="I29" s="10" t="n">
        <f aca="false">INDEX(Probabilidades!$N$2:$N$170,MATCH("75o",Probabilidades!$A$2:$A$170,0))</f>
        <v>0.0432186750740999</v>
      </c>
      <c r="J29" s="10" t="n">
        <f aca="false">INDEX(Probabilidades!$N$2:$N$170,MATCH("65o",Probabilidades!$A$2:$A$170,0))</f>
        <v>0.0432186750740999</v>
      </c>
      <c r="K29" s="10" t="n">
        <f aca="false">INDEX(Probabilidades!$N$2:$N$170,MATCH("55",Probabilidades!$A$2:$A$170,0))</f>
        <v>0.113618342804282</v>
      </c>
      <c r="L29" s="10" t="n">
        <f aca="false">INDEX(Probabilidades!$N$2:$N$170,MATCH("54s",Probabilidades!$A$2:$A$170,0))</f>
        <v>0.0893211123487323</v>
      </c>
      <c r="M29" s="10" t="n">
        <f aca="false">INDEX(Probabilidades!$N$2:$N$170,MATCH("53s",Probabilidades!$A$2:$A$170,0))</f>
        <v>0.0893211123487323</v>
      </c>
      <c r="N29" s="10" t="n">
        <f aca="false">INDEX(Probabilidades!$N$2:$N$170,MATCH("52s",Probabilidades!$A$2:$A$170,0))</f>
        <v>0.0893211123487323</v>
      </c>
    </row>
    <row r="30" customFormat="false" ht="15" hidden="false" customHeight="false" outlineLevel="0" collapsed="false">
      <c r="A30" s="9" t="s">
        <v>210</v>
      </c>
      <c r="B30" s="10" t="n">
        <f aca="false">INDEX(Probabilidades!$N$2:$N$170,MATCH("A4o",Probabilidades!$A$2:$A$170,0))</f>
        <v>0.0432186750740999</v>
      </c>
      <c r="C30" s="10" t="n">
        <f aca="false">INDEX(Probabilidades!$N$2:$N$170,MATCH("K4o",Probabilidades!$A$2:$A$170,0))</f>
        <v>0.0432186750740999</v>
      </c>
      <c r="D30" s="10" t="n">
        <f aca="false">INDEX(Probabilidades!$N$2:$N$170,MATCH("Q4o",Probabilidades!$A$2:$A$170,0))</f>
        <v>0.0432186750740999</v>
      </c>
      <c r="E30" s="10" t="n">
        <f aca="false">INDEX(Probabilidades!$N$2:$N$170,MATCH("J4o",Probabilidades!$A$2:$A$170,0))</f>
        <v>0.0432186750740999</v>
      </c>
      <c r="F30" s="10" t="n">
        <f aca="false">INDEX(Probabilidades!$N$2:$N$170,MATCH("T4o",Probabilidades!$A$2:$A$170,0))</f>
        <v>0.0432186750740999</v>
      </c>
      <c r="G30" s="10" t="n">
        <f aca="false">INDEX(Probabilidades!$N$2:$N$170,MATCH("94o",Probabilidades!$A$2:$A$170,0))</f>
        <v>0.0432186750740999</v>
      </c>
      <c r="H30" s="10" t="n">
        <f aca="false">INDEX(Probabilidades!$N$2:$N$170,MATCH("84o",Probabilidades!$A$2:$A$170,0))</f>
        <v>0.0432186750740999</v>
      </c>
      <c r="I30" s="10" t="n">
        <f aca="false">INDEX(Probabilidades!$N$2:$N$170,MATCH("74o",Probabilidades!$A$2:$A$170,0))</f>
        <v>0.0432186750740999</v>
      </c>
      <c r="J30" s="10" t="n">
        <f aca="false">INDEX(Probabilidades!$N$2:$N$170,MATCH("64o",Probabilidades!$A$2:$A$170,0))</f>
        <v>0.0432186750740999</v>
      </c>
      <c r="K30" s="10" t="n">
        <f aca="false">INDEX(Probabilidades!$N$2:$N$170,MATCH("54o",Probabilidades!$A$2:$A$170,0))</f>
        <v>0.0432186750740999</v>
      </c>
      <c r="L30" s="10" t="n">
        <f aca="false">INDEX(Probabilidades!$N$2:$N$170,MATCH("44",Probabilidades!$A$2:$A$170,0))</f>
        <v>0.113618342804282</v>
      </c>
      <c r="M30" s="10" t="n">
        <f aca="false">INDEX(Probabilidades!$N$2:$N$170,MATCH("43s",Probabilidades!$A$2:$A$170,0))</f>
        <v>0.0893211123487323</v>
      </c>
      <c r="N30" s="10" t="n">
        <f aca="false">INDEX(Probabilidades!$N$2:$N$170,MATCH("42s",Probabilidades!$A$2:$A$170,0))</f>
        <v>0.0893211123487323</v>
      </c>
    </row>
    <row r="31" customFormat="false" ht="15" hidden="false" customHeight="false" outlineLevel="0" collapsed="false">
      <c r="A31" s="9" t="s">
        <v>211</v>
      </c>
      <c r="B31" s="10" t="n">
        <f aca="false">INDEX(Probabilidades!$N$2:$N$170,MATCH("A3o",Probabilidades!$A$2:$A$170,0))</f>
        <v>0.0432186750740999</v>
      </c>
      <c r="C31" s="10" t="n">
        <f aca="false">INDEX(Probabilidades!$N$2:$N$170,MATCH("K3o",Probabilidades!$A$2:$A$170,0))</f>
        <v>0.0432186750740999</v>
      </c>
      <c r="D31" s="10" t="n">
        <f aca="false">INDEX(Probabilidades!$N$2:$N$170,MATCH("Q3o",Probabilidades!$A$2:$A$170,0))</f>
        <v>0.0432186750740999</v>
      </c>
      <c r="E31" s="10" t="n">
        <f aca="false">INDEX(Probabilidades!$N$2:$N$170,MATCH("J3o",Probabilidades!$A$2:$A$170,0))</f>
        <v>0.0432186750740999</v>
      </c>
      <c r="F31" s="10" t="n">
        <f aca="false">INDEX(Probabilidades!$N$2:$N$170,MATCH("T3o",Probabilidades!$A$2:$A$170,0))</f>
        <v>0.0432186750740999</v>
      </c>
      <c r="G31" s="10" t="n">
        <f aca="false">INDEX(Probabilidades!$N$2:$N$170,MATCH("93o",Probabilidades!$A$2:$A$170,0))</f>
        <v>0.0432186750740999</v>
      </c>
      <c r="H31" s="10" t="n">
        <f aca="false">INDEX(Probabilidades!$N$2:$N$170,MATCH("83o",Probabilidades!$A$2:$A$170,0))</f>
        <v>0.0432186750740999</v>
      </c>
      <c r="I31" s="10" t="n">
        <f aca="false">INDEX(Probabilidades!$N$2:$N$170,MATCH("73o",Probabilidades!$A$2:$A$170,0))</f>
        <v>0.0432186750740999</v>
      </c>
      <c r="J31" s="10" t="n">
        <f aca="false">INDEX(Probabilidades!$N$2:$N$170,MATCH("63o",Probabilidades!$A$2:$A$170,0))</f>
        <v>0.0432186750740999</v>
      </c>
      <c r="K31" s="10" t="n">
        <f aca="false">INDEX(Probabilidades!$N$2:$N$170,MATCH("53o",Probabilidades!$A$2:$A$170,0))</f>
        <v>0.0432186750740999</v>
      </c>
      <c r="L31" s="10" t="n">
        <f aca="false">INDEX(Probabilidades!$N$2:$N$170,MATCH("43o",Probabilidades!$A$2:$A$170,0))</f>
        <v>0.0432186750740999</v>
      </c>
      <c r="M31" s="10" t="n">
        <f aca="false">INDEX(Probabilidades!$N$2:$N$170,MATCH("33",Probabilidades!$A$2:$A$170,0))</f>
        <v>0.113618342804282</v>
      </c>
      <c r="N31" s="10" t="n">
        <f aca="false">INDEX(Probabilidades!$N$2:$N$170,MATCH("32s",Probabilidades!$A$2:$A$170,0))</f>
        <v>0.0893211123487323</v>
      </c>
    </row>
    <row r="32" customFormat="false" ht="15" hidden="false" customHeight="false" outlineLevel="0" collapsed="false">
      <c r="A32" s="9" t="s">
        <v>212</v>
      </c>
      <c r="B32" s="10" t="n">
        <f aca="false">INDEX(Probabilidades!$N$2:$N$170,MATCH("A2o",Probabilidades!$A$2:$A$170,0))</f>
        <v>0.0432186750740999</v>
      </c>
      <c r="C32" s="10" t="n">
        <f aca="false">INDEX(Probabilidades!$N$2:$N$170,MATCH("K2o",Probabilidades!$A$2:$A$170,0))</f>
        <v>0.0432186750740999</v>
      </c>
      <c r="D32" s="10" t="n">
        <f aca="false">INDEX(Probabilidades!$N$2:$N$170,MATCH("Q2o",Probabilidades!$A$2:$A$170,0))</f>
        <v>0.0432186750740999</v>
      </c>
      <c r="E32" s="10" t="n">
        <f aca="false">INDEX(Probabilidades!$N$2:$N$170,MATCH("J2o",Probabilidades!$A$2:$A$170,0))</f>
        <v>0.0432186750740999</v>
      </c>
      <c r="F32" s="10" t="n">
        <f aca="false">INDEX(Probabilidades!$N$2:$N$170,MATCH("T2o",Probabilidades!$A$2:$A$170,0))</f>
        <v>0.0432186750740999</v>
      </c>
      <c r="G32" s="10" t="n">
        <f aca="false">INDEX(Probabilidades!$N$2:$N$170,MATCH("92o",Probabilidades!$A$2:$A$170,0))</f>
        <v>0.0432186750740999</v>
      </c>
      <c r="H32" s="10" t="n">
        <f aca="false">INDEX(Probabilidades!$N$2:$N$170,MATCH("82o",Probabilidades!$A$2:$A$170,0))</f>
        <v>0.0432186750740999</v>
      </c>
      <c r="I32" s="10" t="n">
        <f aca="false">INDEX(Probabilidades!$N$2:$N$170,MATCH("72o",Probabilidades!$A$2:$A$170,0))</f>
        <v>0.0432186750740999</v>
      </c>
      <c r="J32" s="10" t="n">
        <f aca="false">INDEX(Probabilidades!$N$2:$N$170,MATCH("62o",Probabilidades!$A$2:$A$170,0))</f>
        <v>0.0432186750740999</v>
      </c>
      <c r="K32" s="10" t="n">
        <f aca="false">INDEX(Probabilidades!$N$2:$N$170,MATCH("52o",Probabilidades!$A$2:$A$170,0))</f>
        <v>0.0432186750740999</v>
      </c>
      <c r="L32" s="10" t="n">
        <f aca="false">INDEX(Probabilidades!$N$2:$N$170,MATCH("42o",Probabilidades!$A$2:$A$170,0))</f>
        <v>0.0432186750740999</v>
      </c>
      <c r="M32" s="10" t="n">
        <f aca="false">INDEX(Probabilidades!$N$2:$N$170,MATCH("32o",Probabilidades!$A$2:$A$170,0))</f>
        <v>0.0432186750740999</v>
      </c>
      <c r="N32" s="10" t="n">
        <f aca="false">INDEX(Probabilidades!$N$2:$N$170,MATCH("22",Probabilidades!$A$2:$A$170,0))</f>
        <v>0.113618342804282</v>
      </c>
    </row>
    <row r="35" customFormat="false" ht="15" hidden="false" customHeight="false" outlineLevel="0" collapsed="false">
      <c r="A35" s="8" t="s">
        <v>214</v>
      </c>
    </row>
    <row r="36" customFormat="false" ht="15" hidden="false" customHeight="false" outlineLevel="0" collapsed="false">
      <c r="B36" s="9" t="s">
        <v>200</v>
      </c>
      <c r="C36" s="9" t="s">
        <v>201</v>
      </c>
      <c r="D36" s="9" t="s">
        <v>202</v>
      </c>
      <c r="E36" s="9" t="s">
        <v>203</v>
      </c>
      <c r="F36" s="9" t="s">
        <v>204</v>
      </c>
      <c r="G36" s="9" t="s">
        <v>205</v>
      </c>
      <c r="H36" s="9" t="s">
        <v>206</v>
      </c>
      <c r="I36" s="9" t="s">
        <v>207</v>
      </c>
      <c r="J36" s="9" t="s">
        <v>208</v>
      </c>
      <c r="K36" s="9" t="s">
        <v>209</v>
      </c>
      <c r="L36" s="9" t="s">
        <v>210</v>
      </c>
      <c r="M36" s="9" t="s">
        <v>211</v>
      </c>
      <c r="N36" s="9" t="s">
        <v>212</v>
      </c>
    </row>
    <row r="37" customFormat="false" ht="15" hidden="false" customHeight="false" outlineLevel="0" collapsed="false">
      <c r="A37" s="9" t="s">
        <v>200</v>
      </c>
      <c r="B37" s="10" t="n">
        <f aca="false">INDEX(Probabilidades!$P$2:$P$170,MATCH("AA",Probabilidades!$A$2:$A$170,0))</f>
        <v>0.947222903962695</v>
      </c>
      <c r="C37" s="10" t="n">
        <f aca="false">INDEX(Probabilidades!$P$2:$P$170,MATCH("AKs",Probabilidades!$A$2:$A$170,0))</f>
        <v>0.546316241575261</v>
      </c>
      <c r="D37" s="10" t="n">
        <f aca="false">INDEX(Probabilidades!$P$2:$P$170,MATCH("AQs",Probabilidades!$A$2:$A$170,0))</f>
        <v>0.549230210122902</v>
      </c>
      <c r="E37" s="10" t="n">
        <f aca="false">INDEX(Probabilidades!$P$2:$P$170,MATCH("AJs",Probabilidades!$A$2:$A$170,0))</f>
        <v>0.552144178670543</v>
      </c>
      <c r="F37" s="10" t="n">
        <f aca="false">INDEX(Probabilidades!$P$2:$P$170,MATCH("ATs",Probabilidades!$A$2:$A$170,0))</f>
        <v>0.555058147218184</v>
      </c>
      <c r="G37" s="10" t="n">
        <f aca="false">INDEX(Probabilidades!$P$2:$P$170,MATCH("A9s",Probabilidades!$A$2:$A$170,0))</f>
        <v>0.543900677754913</v>
      </c>
      <c r="H37" s="10" t="n">
        <f aca="false">INDEX(Probabilidades!$P$2:$P$170,MATCH("A8s",Probabilidades!$A$2:$A$170,0))</f>
        <v>0.546724971209575</v>
      </c>
      <c r="I37" s="10" t="n">
        <f aca="false">INDEX(Probabilidades!$P$2:$P$170,MATCH("A7s",Probabilidades!$A$2:$A$170,0))</f>
        <v>0.546724971209575</v>
      </c>
      <c r="J37" s="10" t="n">
        <f aca="false">INDEX(Probabilidades!$P$2:$P$170,MATCH("A6s",Probabilidades!$A$2:$A$170,0))</f>
        <v>0.543900677754913</v>
      </c>
      <c r="K37" s="10" t="n">
        <f aca="false">INDEX(Probabilidades!$P$2:$P$170,MATCH("A5s",Probabilidades!$A$2:$A$170,0))</f>
        <v>0.555058147218184</v>
      </c>
      <c r="L37" s="10" t="n">
        <f aca="false">INDEX(Probabilidades!$P$2:$P$170,MATCH("A4s",Probabilidades!$A$2:$A$170,0))</f>
        <v>0.552144178670543</v>
      </c>
      <c r="M37" s="10" t="n">
        <f aca="false">INDEX(Probabilidades!$P$2:$P$170,MATCH("A3s",Probabilidades!$A$2:$A$170,0))</f>
        <v>0.549230210122902</v>
      </c>
      <c r="N37" s="10" t="n">
        <f aca="false">INDEX(Probabilidades!$P$2:$P$170,MATCH("A2s",Probabilidades!$A$2:$A$170,0))</f>
        <v>0.546316241575261</v>
      </c>
    </row>
    <row r="38" customFormat="false" ht="15" hidden="false" customHeight="false" outlineLevel="0" collapsed="false">
      <c r="A38" s="9" t="s">
        <v>201</v>
      </c>
      <c r="B38" s="10" t="n">
        <f aca="false">INDEX(Probabilidades!$P$2:$P$170,MATCH("AKo",Probabilidades!$A$2:$A$170,0))</f>
        <v>0.51203439747777</v>
      </c>
      <c r="C38" s="10" t="n">
        <f aca="false">INDEX(Probabilidades!$P$2:$P$170,MATCH("KK",Probabilidades!$A$2:$A$170,0))</f>
        <v>0.947222903962695</v>
      </c>
      <c r="D38" s="10" t="n">
        <f aca="false">INDEX(Probabilidades!$P$2:$P$170,MATCH("KQs",Probabilidades!$A$2:$A$170,0))</f>
        <v>0.557131057788518</v>
      </c>
      <c r="E38" s="10" t="n">
        <f aca="false">INDEX(Probabilidades!$P$2:$P$170,MATCH("KJs",Probabilidades!$A$2:$A$170,0))</f>
        <v>0.560045026336159</v>
      </c>
      <c r="F38" s="10" t="n">
        <f aca="false">INDEX(Probabilidades!$P$2:$P$170,MATCH("KTs",Probabilidades!$A$2:$A$170,0))</f>
        <v>0.5629589948838</v>
      </c>
      <c r="G38" s="10" t="n">
        <f aca="false">INDEX(Probabilidades!$P$2:$P$170,MATCH("K9s",Probabilidades!$A$2:$A$170,0))</f>
        <v>0.551801525420529</v>
      </c>
      <c r="H38" s="10" t="n">
        <f aca="false">INDEX(Probabilidades!$P$2:$P$170,MATCH("K8s",Probabilidades!$A$2:$A$170,0))</f>
        <v>0.543900677754913</v>
      </c>
      <c r="I38" s="10" t="n">
        <f aca="false">INDEX(Probabilidades!$P$2:$P$170,MATCH("K7s",Probabilidades!$A$2:$A$170,0))</f>
        <v>0.546724971209575</v>
      </c>
      <c r="J38" s="10" t="n">
        <f aca="false">INDEX(Probabilidades!$P$2:$P$170,MATCH("K6s",Probabilidades!$A$2:$A$170,0))</f>
        <v>0.546724971209575</v>
      </c>
      <c r="K38" s="10" t="n">
        <f aca="false">INDEX(Probabilidades!$P$2:$P$170,MATCH("K5s",Probabilidades!$A$2:$A$170,0))</f>
        <v>0.547157299552569</v>
      </c>
      <c r="L38" s="10" t="n">
        <f aca="false">INDEX(Probabilidades!$P$2:$P$170,MATCH("K4s",Probabilidades!$A$2:$A$170,0))</f>
        <v>0.544243331004927</v>
      </c>
      <c r="M38" s="10" t="n">
        <f aca="false">INDEX(Probabilidades!$P$2:$P$170,MATCH("K3s",Probabilidades!$A$2:$A$170,0))</f>
        <v>0.541329362457286</v>
      </c>
      <c r="N38" s="10" t="n">
        <f aca="false">INDEX(Probabilidades!$P$2:$P$170,MATCH("K2s",Probabilidades!$A$2:$A$170,0))</f>
        <v>0.538415393909645</v>
      </c>
    </row>
    <row r="39" customFormat="false" ht="15" hidden="false" customHeight="false" outlineLevel="0" collapsed="false">
      <c r="A39" s="9" t="s">
        <v>202</v>
      </c>
      <c r="B39" s="10" t="n">
        <f aca="false">INDEX(Probabilidades!$P$2:$P$170,MATCH("AQo",Probabilidades!$A$2:$A$170,0))</f>
        <v>0.51520181615662</v>
      </c>
      <c r="C39" s="10" t="n">
        <f aca="false">INDEX(Probabilidades!$P$2:$P$170,MATCH("KQo",Probabilidades!$A$2:$A$170,0))</f>
        <v>0.523707734712757</v>
      </c>
      <c r="D39" s="10" t="n">
        <f aca="false">INDEX(Probabilidades!$P$2:$P$170,MATCH("QQ",Probabilidades!$A$2:$A$170,0))</f>
        <v>0.947457947101135</v>
      </c>
      <c r="E39" s="10" t="n">
        <f aca="false">INDEX(Probabilidades!$P$2:$P$170,MATCH("QJs",Probabilidades!$A$2:$A$170,0))</f>
        <v>0.570859842549416</v>
      </c>
      <c r="F39" s="10" t="n">
        <f aca="false">INDEX(Probabilidades!$P$2:$P$170,MATCH("QTs",Probabilidades!$A$2:$A$170,0))</f>
        <v>0.573773811097057</v>
      </c>
      <c r="G39" s="10" t="n">
        <f aca="false">INDEX(Probabilidades!$P$2:$P$170,MATCH("Q9s",Probabilidades!$A$2:$A$170,0))</f>
        <v>0.562616341633786</v>
      </c>
      <c r="H39" s="10" t="n">
        <f aca="false">INDEX(Probabilidades!$P$2:$P$170,MATCH("Q8s",Probabilidades!$A$2:$A$170,0))</f>
        <v>0.55471549396817</v>
      </c>
      <c r="I39" s="10" t="n">
        <f aca="false">INDEX(Probabilidades!$P$2:$P$170,MATCH("Q7s",Probabilidades!$A$2:$A$170,0))</f>
        <v>0.546814646302554</v>
      </c>
      <c r="J39" s="10" t="n">
        <f aca="false">INDEX(Probabilidades!$P$2:$P$170,MATCH("Q6s",Probabilidades!$A$2:$A$170,0))</f>
        <v>0.549638939757216</v>
      </c>
      <c r="K39" s="10" t="n">
        <f aca="false">INDEX(Probabilidades!$P$2:$P$170,MATCH("Q5s",Probabilidades!$A$2:$A$170,0))</f>
        <v>0.55007126810021</v>
      </c>
      <c r="L39" s="10" t="n">
        <f aca="false">INDEX(Probabilidades!$P$2:$P$170,MATCH("Q4s",Probabilidades!$A$2:$A$170,0))</f>
        <v>0.547157299552569</v>
      </c>
      <c r="M39" s="10" t="n">
        <f aca="false">INDEX(Probabilidades!$P$2:$P$170,MATCH("Q3s",Probabilidades!$A$2:$A$170,0))</f>
        <v>0.544243331004927</v>
      </c>
      <c r="N39" s="10" t="n">
        <f aca="false">INDEX(Probabilidades!$P$2:$P$170,MATCH("Q2s",Probabilidades!$A$2:$A$170,0))</f>
        <v>0.541329362457286</v>
      </c>
    </row>
    <row r="40" customFormat="false" ht="15" hidden="false" customHeight="false" outlineLevel="0" collapsed="false">
      <c r="A40" s="9" t="s">
        <v>203</v>
      </c>
      <c r="B40" s="10" t="n">
        <f aca="false">INDEX(Probabilidades!$P$2:$P$170,MATCH("AJo",Probabilidades!$A$2:$A$170,0))</f>
        <v>0.51836923483547</v>
      </c>
      <c r="C40" s="10" t="n">
        <f aca="false">INDEX(Probabilidades!$P$2:$P$170,MATCH("KJo",Probabilidades!$A$2:$A$170,0))</f>
        <v>0.526875153391606</v>
      </c>
      <c r="D40" s="10" t="n">
        <f aca="false">INDEX(Probabilidades!$P$2:$P$170,MATCH("QJo",Probabilidades!$A$2:$A$170,0))</f>
        <v>0.538548490626593</v>
      </c>
      <c r="E40" s="10" t="n">
        <f aca="false">INDEX(Probabilidades!$P$2:$P$170,MATCH("JJ",Probabilidades!$A$2:$A$170,0))</f>
        <v>0.947692990239574</v>
      </c>
      <c r="F40" s="10" t="n">
        <f aca="false">INDEX(Probabilidades!$P$2:$P$170,MATCH("JTs",Probabilidades!$A$2:$A$170,0))</f>
        <v>0.584588627310314</v>
      </c>
      <c r="G40" s="10" t="n">
        <f aca="false">INDEX(Probabilidades!$P$2:$P$170,MATCH("J9s",Probabilidades!$A$2:$A$170,0))</f>
        <v>0.573431157847043</v>
      </c>
      <c r="H40" s="10" t="n">
        <f aca="false">INDEX(Probabilidades!$P$2:$P$170,MATCH("J8s",Probabilidades!$A$2:$A$170,0))</f>
        <v>0.565530310181427</v>
      </c>
      <c r="I40" s="10" t="n">
        <f aca="false">INDEX(Probabilidades!$P$2:$P$170,MATCH("J7s",Probabilidades!$A$2:$A$170,0))</f>
        <v>0.557629462515811</v>
      </c>
      <c r="J40" s="10" t="n">
        <f aca="false">INDEX(Probabilidades!$P$2:$P$170,MATCH("J6s",Probabilidades!$A$2:$A$170,0))</f>
        <v>0.549728614850195</v>
      </c>
      <c r="K40" s="10" t="n">
        <f aca="false">INDEX(Probabilidades!$P$2:$P$170,MATCH("J5s",Probabilidades!$A$2:$A$170,0))</f>
        <v>0.552985236647851</v>
      </c>
      <c r="L40" s="10" t="n">
        <f aca="false">INDEX(Probabilidades!$P$2:$P$170,MATCH("J4s",Probabilidades!$A$2:$A$170,0))</f>
        <v>0.55007126810021</v>
      </c>
      <c r="M40" s="10" t="n">
        <f aca="false">INDEX(Probabilidades!$P$2:$P$170,MATCH("J3s",Probabilidades!$A$2:$A$170,0))</f>
        <v>0.547157299552569</v>
      </c>
      <c r="N40" s="10" t="n">
        <f aca="false">INDEX(Probabilidades!$P$2:$P$170,MATCH("J2s",Probabilidades!$A$2:$A$170,0))</f>
        <v>0.544243331004927</v>
      </c>
    </row>
    <row r="41" customFormat="false" ht="15" hidden="false" customHeight="false" outlineLevel="0" collapsed="false">
      <c r="A41" s="9" t="s">
        <v>204</v>
      </c>
      <c r="B41" s="10" t="n">
        <f aca="false">INDEX(Probabilidades!$P$2:$P$170,MATCH("ATo",Probabilidades!$A$2:$A$170,0))</f>
        <v>0.52153665351432</v>
      </c>
      <c r="C41" s="10" t="n">
        <f aca="false">INDEX(Probabilidades!$P$2:$P$170,MATCH("KTo",Probabilidades!$A$2:$A$170,0))</f>
        <v>0.530042572070456</v>
      </c>
      <c r="D41" s="10" t="n">
        <f aca="false">INDEX(Probabilidades!$P$2:$P$170,MATCH("QTo",Probabilidades!$A$2:$A$170,0))</f>
        <v>0.541715909305443</v>
      </c>
      <c r="E41" s="10" t="n">
        <f aca="false">INDEX(Probabilidades!$P$2:$P$170,MATCH("JTo",Probabilidades!$A$2:$A$170,0))</f>
        <v>0.553389246540429</v>
      </c>
      <c r="F41" s="10" t="n">
        <f aca="false">INDEX(Probabilidades!$P$2:$P$170,MATCH("TT",Probabilidades!$A$2:$A$170,0))</f>
        <v>0.947928033378014</v>
      </c>
      <c r="G41" s="10" t="n">
        <f aca="false">INDEX(Probabilidades!$P$2:$P$170,MATCH("T9s",Probabilidades!$A$2:$A$170,0))</f>
        <v>0.584245974060299</v>
      </c>
      <c r="H41" s="10" t="n">
        <f aca="false">INDEX(Probabilidades!$P$2:$P$170,MATCH("T8s",Probabilidades!$A$2:$A$170,0))</f>
        <v>0.576345126394684</v>
      </c>
      <c r="I41" s="10" t="n">
        <f aca="false">INDEX(Probabilidades!$P$2:$P$170,MATCH("T7s",Probabilidades!$A$2:$A$170,0))</f>
        <v>0.568444278729068</v>
      </c>
      <c r="J41" s="10" t="n">
        <f aca="false">INDEX(Probabilidades!$P$2:$P$170,MATCH("T6s",Probabilidades!$A$2:$A$170,0))</f>
        <v>0.560543431063452</v>
      </c>
      <c r="K41" s="10" t="n">
        <f aca="false">INDEX(Probabilidades!$P$2:$P$170,MATCH("T5s",Probabilidades!$A$2:$A$170,0))</f>
        <v>0.55307491174083</v>
      </c>
      <c r="L41" s="10" t="n">
        <f aca="false">INDEX(Probabilidades!$P$2:$P$170,MATCH("T4s",Probabilidades!$A$2:$A$170,0))</f>
        <v>0.552985236647851</v>
      </c>
      <c r="M41" s="10" t="n">
        <f aca="false">INDEX(Probabilidades!$P$2:$P$170,MATCH("T3s",Probabilidades!$A$2:$A$170,0))</f>
        <v>0.55007126810021</v>
      </c>
      <c r="N41" s="10" t="n">
        <f aca="false">INDEX(Probabilidades!$P$2:$P$170,MATCH("T2s",Probabilidades!$A$2:$A$170,0))</f>
        <v>0.547157299552569</v>
      </c>
    </row>
    <row r="42" customFormat="false" ht="15" hidden="false" customHeight="false" outlineLevel="0" collapsed="false">
      <c r="A42" s="9" t="s">
        <v>205</v>
      </c>
      <c r="B42" s="10" t="n">
        <f aca="false">INDEX(Probabilidades!$P$2:$P$170,MATCH("A9o",Probabilidades!$A$2:$A$170,0))</f>
        <v>0.509513111442542</v>
      </c>
      <c r="C42" s="10" t="n">
        <f aca="false">INDEX(Probabilidades!$P$2:$P$170,MATCH("K9o",Probabilidades!$A$2:$A$170,0))</f>
        <v>0.518019029998678</v>
      </c>
      <c r="D42" s="10" t="n">
        <f aca="false">INDEX(Probabilidades!$P$2:$P$170,MATCH("Q9o",Probabilidades!$A$2:$A$170,0))</f>
        <v>0.529692367233665</v>
      </c>
      <c r="E42" s="10" t="n">
        <f aca="false">INDEX(Probabilidades!$P$2:$P$170,MATCH("J9o",Probabilidades!$A$2:$A$170,0))</f>
        <v>0.541365704468652</v>
      </c>
      <c r="F42" s="10" t="n">
        <f aca="false">INDEX(Probabilidades!$P$2:$P$170,MATCH("T9o",Probabilidades!$A$2:$A$170,0))</f>
        <v>0.553039041703638</v>
      </c>
      <c r="G42" s="10" t="n">
        <f aca="false">INDEX(Probabilidades!$P$2:$P$170,MATCH("99",Probabilidades!$A$2:$A$170,0))</f>
        <v>0.947927089429666</v>
      </c>
      <c r="H42" s="10" t="n">
        <f aca="false">INDEX(Probabilidades!$P$2:$P$170,MATCH("98s",Probabilidades!$A$2:$A$170,0))</f>
        <v>0.583813645717306</v>
      </c>
      <c r="I42" s="10" t="n">
        <f aca="false">INDEX(Probabilidades!$P$2:$P$170,MATCH("97s",Probabilidades!$A$2:$A$170,0))</f>
        <v>0.575912798051691</v>
      </c>
      <c r="J42" s="10" t="n">
        <f aca="false">INDEX(Probabilidades!$P$2:$P$170,MATCH("96s",Probabilidades!$A$2:$A$170,0))</f>
        <v>0.568011950386075</v>
      </c>
      <c r="K42" s="10" t="n">
        <f aca="false">INDEX(Probabilidades!$P$2:$P$170,MATCH("95s",Probabilidades!$A$2:$A$170,0))</f>
        <v>0.560543431063452</v>
      </c>
      <c r="L42" s="10" t="n">
        <f aca="false">INDEX(Probabilidades!$P$2:$P$170,MATCH("94s",Probabilidades!$A$2:$A$170,0))</f>
        <v>0.549728614850195</v>
      </c>
      <c r="M42" s="10" t="n">
        <f aca="false">INDEX(Probabilidades!$P$2:$P$170,MATCH("93s",Probabilidades!$A$2:$A$170,0))</f>
        <v>0.549638939757216</v>
      </c>
      <c r="N42" s="10" t="n">
        <f aca="false">INDEX(Probabilidades!$P$2:$P$170,MATCH("92s",Probabilidades!$A$2:$A$170,0))</f>
        <v>0.546724971209575</v>
      </c>
    </row>
    <row r="43" customFormat="false" ht="15" hidden="false" customHeight="false" outlineLevel="0" collapsed="false">
      <c r="A43" s="9" t="s">
        <v>206</v>
      </c>
      <c r="B43" s="10" t="n">
        <f aca="false">INDEX(Probabilidades!$P$2:$P$170,MATCH("A8o",Probabilidades!$A$2:$A$170,0))</f>
        <v>0.512563008552172</v>
      </c>
      <c r="C43" s="10" t="n">
        <f aca="false">INDEX(Probabilidades!$P$2:$P$170,MATCH("K8o",Probabilidades!$A$2:$A$170,0))</f>
        <v>0.509513111442542</v>
      </c>
      <c r="D43" s="10" t="n">
        <f aca="false">INDEX(Probabilidades!$P$2:$P$170,MATCH("Q8o",Probabilidades!$A$2:$A$170,0))</f>
        <v>0.521186448677528</v>
      </c>
      <c r="E43" s="10" t="n">
        <f aca="false">INDEX(Probabilidades!$P$2:$P$170,MATCH("J8o",Probabilidades!$A$2:$A$170,0))</f>
        <v>0.532859785912515</v>
      </c>
      <c r="F43" s="10" t="n">
        <f aca="false">INDEX(Probabilidades!$P$2:$P$170,MATCH("T8o",Probabilidades!$A$2:$A$170,0))</f>
        <v>0.544533123147501</v>
      </c>
      <c r="G43" s="10" t="n">
        <f aca="false">INDEX(Probabilidades!$P$2:$P$170,MATCH("98o",Probabilidades!$A$2:$A$170,0))</f>
        <v>0.552571315297627</v>
      </c>
      <c r="H43" s="10" t="n">
        <f aca="false">INDEX(Probabilidades!$P$2:$P$170,MATCH("88",Probabilidades!$A$2:$A$170,0))</f>
        <v>0.947927089429666</v>
      </c>
      <c r="I43" s="10" t="n">
        <f aca="false">INDEX(Probabilidades!$P$2:$P$170,MATCH("87s",Probabilidades!$A$2:$A$170,0))</f>
        <v>0.583813645717306</v>
      </c>
      <c r="J43" s="10" t="n">
        <f aca="false">INDEX(Probabilidades!$P$2:$P$170,MATCH("86s",Probabilidades!$A$2:$A$170,0))</f>
        <v>0.575912798051691</v>
      </c>
      <c r="K43" s="10" t="n">
        <f aca="false">INDEX(Probabilidades!$P$2:$P$170,MATCH("85s",Probabilidades!$A$2:$A$170,0))</f>
        <v>0.568444278729068</v>
      </c>
      <c r="L43" s="10" t="n">
        <f aca="false">INDEX(Probabilidades!$P$2:$P$170,MATCH("84s",Probabilidades!$A$2:$A$170,0))</f>
        <v>0.557629462515811</v>
      </c>
      <c r="M43" s="10" t="n">
        <f aca="false">INDEX(Probabilidades!$P$2:$P$170,MATCH("83s",Probabilidades!$A$2:$A$170,0))</f>
        <v>0.546814646302554</v>
      </c>
      <c r="N43" s="10" t="n">
        <f aca="false">INDEX(Probabilidades!$P$2:$P$170,MATCH("82s",Probabilidades!$A$2:$A$170,0))</f>
        <v>0.546724971209575</v>
      </c>
    </row>
    <row r="44" customFormat="false" ht="15" hidden="false" customHeight="false" outlineLevel="0" collapsed="false">
      <c r="A44" s="9" t="s">
        <v>207</v>
      </c>
      <c r="B44" s="10" t="n">
        <f aca="false">INDEX(Probabilidades!$P$2:$P$170,MATCH("A7o",Probabilidades!$A$2:$A$170,0))</f>
        <v>0.512563008552172</v>
      </c>
      <c r="C44" s="10" t="n">
        <f aca="false">INDEX(Probabilidades!$P$2:$P$170,MATCH("K7o",Probabilidades!$A$2:$A$170,0))</f>
        <v>0.512563008552172</v>
      </c>
      <c r="D44" s="10" t="n">
        <f aca="false">INDEX(Probabilidades!$P$2:$P$170,MATCH("Q7o",Probabilidades!$A$2:$A$170,0))</f>
        <v>0.512680530121392</v>
      </c>
      <c r="E44" s="10" t="n">
        <f aca="false">INDEX(Probabilidades!$P$2:$P$170,MATCH("J7o",Probabilidades!$A$2:$A$170,0))</f>
        <v>0.524353867356378</v>
      </c>
      <c r="F44" s="10" t="n">
        <f aca="false">INDEX(Probabilidades!$P$2:$P$170,MATCH("T7o",Probabilidades!$A$2:$A$170,0))</f>
        <v>0.536027204591365</v>
      </c>
      <c r="G44" s="10" t="n">
        <f aca="false">INDEX(Probabilidades!$P$2:$P$170,MATCH("97o",Probabilidades!$A$2:$A$170,0))</f>
        <v>0.54406539674149</v>
      </c>
      <c r="H44" s="10" t="n">
        <f aca="false">INDEX(Probabilidades!$P$2:$P$170,MATCH("87o",Probabilidades!$A$2:$A$170,0))</f>
        <v>0.552571315297627</v>
      </c>
      <c r="I44" s="10" t="n">
        <f aca="false">INDEX(Probabilidades!$P$2:$P$170,MATCH("77",Probabilidades!$A$2:$A$170,0))</f>
        <v>0.947927089429666</v>
      </c>
      <c r="J44" s="10" t="n">
        <f aca="false">INDEX(Probabilidades!$P$2:$P$170,MATCH("76s",Probabilidades!$A$2:$A$170,0))</f>
        <v>0.583813645717306</v>
      </c>
      <c r="K44" s="10" t="n">
        <f aca="false">INDEX(Probabilidades!$P$2:$P$170,MATCH("75s",Probabilidades!$A$2:$A$170,0))</f>
        <v>0.576345126394684</v>
      </c>
      <c r="L44" s="10" t="n">
        <f aca="false">INDEX(Probabilidades!$P$2:$P$170,MATCH("74s",Probabilidades!$A$2:$A$170,0))</f>
        <v>0.565530310181427</v>
      </c>
      <c r="M44" s="10" t="n">
        <f aca="false">INDEX(Probabilidades!$P$2:$P$170,MATCH("73s",Probabilidades!$A$2:$A$170,0))</f>
        <v>0.55471549396817</v>
      </c>
      <c r="N44" s="10" t="n">
        <f aca="false">INDEX(Probabilidades!$P$2:$P$170,MATCH("72s",Probabilidades!$A$2:$A$170,0))</f>
        <v>0.543900677754913</v>
      </c>
    </row>
    <row r="45" customFormat="false" ht="15" hidden="false" customHeight="false" outlineLevel="0" collapsed="false">
      <c r="A45" s="9" t="s">
        <v>208</v>
      </c>
      <c r="B45" s="10" t="n">
        <f aca="false">INDEX(Probabilidades!$P$2:$P$170,MATCH("A6o",Probabilidades!$A$2:$A$170,0))</f>
        <v>0.509513111442542</v>
      </c>
      <c r="C45" s="10" t="n">
        <f aca="false">INDEX(Probabilidades!$P$2:$P$170,MATCH("K6o",Probabilidades!$A$2:$A$170,0))</f>
        <v>0.512563008552172</v>
      </c>
      <c r="D45" s="10" t="n">
        <f aca="false">INDEX(Probabilidades!$P$2:$P$170,MATCH("Q6o",Probabilidades!$A$2:$A$170,0))</f>
        <v>0.515730427231022</v>
      </c>
      <c r="E45" s="10" t="n">
        <f aca="false">INDEX(Probabilidades!$P$2:$P$170,MATCH("J6o",Probabilidades!$A$2:$A$170,0))</f>
        <v>0.515847948800242</v>
      </c>
      <c r="F45" s="10" t="n">
        <f aca="false">INDEX(Probabilidades!$P$2:$P$170,MATCH("T6o",Probabilidades!$A$2:$A$170,0))</f>
        <v>0.527521286035228</v>
      </c>
      <c r="G45" s="10" t="n">
        <f aca="false">INDEX(Probabilidades!$P$2:$P$170,MATCH("96o",Probabilidades!$A$2:$A$170,0))</f>
        <v>0.535559478185354</v>
      </c>
      <c r="H45" s="10" t="n">
        <f aca="false">INDEX(Probabilidades!$P$2:$P$170,MATCH("86o",Probabilidades!$A$2:$A$170,0))</f>
        <v>0.54406539674149</v>
      </c>
      <c r="I45" s="10" t="n">
        <f aca="false">INDEX(Probabilidades!$P$2:$P$170,MATCH("76o",Probabilidades!$A$2:$A$170,0))</f>
        <v>0.552571315297627</v>
      </c>
      <c r="J45" s="10" t="n">
        <f aca="false">INDEX(Probabilidades!$P$2:$P$170,MATCH("66",Probabilidades!$A$2:$A$170,0))</f>
        <v>0.947927089429666</v>
      </c>
      <c r="K45" s="10" t="n">
        <f aca="false">INDEX(Probabilidades!$P$2:$P$170,MATCH("65s",Probabilidades!$A$2:$A$170,0))</f>
        <v>0.584245974060299</v>
      </c>
      <c r="L45" s="10" t="n">
        <f aca="false">INDEX(Probabilidades!$P$2:$P$170,MATCH("64s",Probabilidades!$A$2:$A$170,0))</f>
        <v>0.573431157847043</v>
      </c>
      <c r="M45" s="10" t="n">
        <f aca="false">INDEX(Probabilidades!$P$2:$P$170,MATCH("63s",Probabilidades!$A$2:$A$170,0))</f>
        <v>0.562616341633786</v>
      </c>
      <c r="N45" s="10" t="n">
        <f aca="false">INDEX(Probabilidades!$P$2:$P$170,MATCH("62s",Probabilidades!$A$2:$A$170,0))</f>
        <v>0.551801525420529</v>
      </c>
    </row>
    <row r="46" customFormat="false" ht="15" hidden="false" customHeight="false" outlineLevel="0" collapsed="false">
      <c r="A46" s="9" t="s">
        <v>209</v>
      </c>
      <c r="B46" s="10" t="n">
        <f aca="false">INDEX(Probabilidades!$P$2:$P$170,MATCH("A5o",Probabilidades!$A$2:$A$170,0))</f>
        <v>0.52153665351432</v>
      </c>
      <c r="C46" s="10" t="n">
        <f aca="false">INDEX(Probabilidades!$P$2:$P$170,MATCH("K5o",Probabilidades!$A$2:$A$170,0))</f>
        <v>0.513030734958183</v>
      </c>
      <c r="D46" s="10" t="n">
        <f aca="false">INDEX(Probabilidades!$P$2:$P$170,MATCH("Q5o",Probabilidades!$A$2:$A$170,0))</f>
        <v>0.516198153637033</v>
      </c>
      <c r="E46" s="10" t="n">
        <f aca="false">INDEX(Probabilidades!$P$2:$P$170,MATCH("J5o",Probabilidades!$A$2:$A$170,0))</f>
        <v>0.519365572315883</v>
      </c>
      <c r="F46" s="10" t="n">
        <f aca="false">INDEX(Probabilidades!$P$2:$P$170,MATCH("T5o",Probabilidades!$A$2:$A$170,0))</f>
        <v>0.519483093885103</v>
      </c>
      <c r="G46" s="10" t="n">
        <f aca="false">INDEX(Probabilidades!$P$2:$P$170,MATCH("95o",Probabilidades!$A$2:$A$170,0))</f>
        <v>0.527521286035228</v>
      </c>
      <c r="H46" s="10" t="n">
        <f aca="false">INDEX(Probabilidades!$P$2:$P$170,MATCH("85o",Probabilidades!$A$2:$A$170,0))</f>
        <v>0.536027204591365</v>
      </c>
      <c r="I46" s="10" t="n">
        <f aca="false">INDEX(Probabilidades!$P$2:$P$170,MATCH("75o",Probabilidades!$A$2:$A$170,0))</f>
        <v>0.544533123147501</v>
      </c>
      <c r="J46" s="10" t="n">
        <f aca="false">INDEX(Probabilidades!$P$2:$P$170,MATCH("65o",Probabilidades!$A$2:$A$170,0))</f>
        <v>0.553039041703638</v>
      </c>
      <c r="K46" s="10" t="n">
        <f aca="false">INDEX(Probabilidades!$P$2:$P$170,MATCH("55",Probabilidades!$A$2:$A$170,0))</f>
        <v>0.947928033378014</v>
      </c>
      <c r="L46" s="10" t="n">
        <f aca="false">INDEX(Probabilidades!$P$2:$P$170,MATCH("54s",Probabilidades!$A$2:$A$170,0))</f>
        <v>0.584588627310314</v>
      </c>
      <c r="M46" s="10" t="n">
        <f aca="false">INDEX(Probabilidades!$P$2:$P$170,MATCH("53s",Probabilidades!$A$2:$A$170,0))</f>
        <v>0.573773811097057</v>
      </c>
      <c r="N46" s="10" t="n">
        <f aca="false">INDEX(Probabilidades!$P$2:$P$170,MATCH("52s",Probabilidades!$A$2:$A$170,0))</f>
        <v>0.5629589948838</v>
      </c>
    </row>
    <row r="47" customFormat="false" ht="15" hidden="false" customHeight="false" outlineLevel="0" collapsed="false">
      <c r="A47" s="9" t="s">
        <v>210</v>
      </c>
      <c r="B47" s="10" t="n">
        <f aca="false">INDEX(Probabilidades!$P$2:$P$170,MATCH("A4o",Probabilidades!$A$2:$A$170,0))</f>
        <v>0.51836923483547</v>
      </c>
      <c r="C47" s="10" t="n">
        <f aca="false">INDEX(Probabilidades!$P$2:$P$170,MATCH("K4o",Probabilidades!$A$2:$A$170,0))</f>
        <v>0.509863316279333</v>
      </c>
      <c r="D47" s="10" t="n">
        <f aca="false">INDEX(Probabilidades!$P$2:$P$170,MATCH("Q4o",Probabilidades!$A$2:$A$170,0))</f>
        <v>0.513030734958183</v>
      </c>
      <c r="E47" s="10" t="n">
        <f aca="false">INDEX(Probabilidades!$P$2:$P$170,MATCH("J4o",Probabilidades!$A$2:$A$170,0))</f>
        <v>0.516198153637033</v>
      </c>
      <c r="F47" s="10" t="n">
        <f aca="false">INDEX(Probabilidades!$P$2:$P$170,MATCH("T4o",Probabilidades!$A$2:$A$170,0))</f>
        <v>0.519365572315883</v>
      </c>
      <c r="G47" s="10" t="n">
        <f aca="false">INDEX(Probabilidades!$P$2:$P$170,MATCH("94o",Probabilidades!$A$2:$A$170,0))</f>
        <v>0.515847948800242</v>
      </c>
      <c r="H47" s="10" t="n">
        <f aca="false">INDEX(Probabilidades!$P$2:$P$170,MATCH("84o",Probabilidades!$A$2:$A$170,0))</f>
        <v>0.524353867356378</v>
      </c>
      <c r="I47" s="10" t="n">
        <f aca="false">INDEX(Probabilidades!$P$2:$P$170,MATCH("74o",Probabilidades!$A$2:$A$170,0))</f>
        <v>0.532859785912515</v>
      </c>
      <c r="J47" s="10" t="n">
        <f aca="false">INDEX(Probabilidades!$P$2:$P$170,MATCH("64o",Probabilidades!$A$2:$A$170,0))</f>
        <v>0.541365704468652</v>
      </c>
      <c r="K47" s="10" t="n">
        <f aca="false">INDEX(Probabilidades!$P$2:$P$170,MATCH("54o",Probabilidades!$A$2:$A$170,0))</f>
        <v>0.553389246540429</v>
      </c>
      <c r="L47" s="10" t="n">
        <f aca="false">INDEX(Probabilidades!$P$2:$P$170,MATCH("44",Probabilidades!$A$2:$A$170,0))</f>
        <v>0.947692990239574</v>
      </c>
      <c r="M47" s="10" t="n">
        <f aca="false">INDEX(Probabilidades!$P$2:$P$170,MATCH("43s",Probabilidades!$A$2:$A$170,0))</f>
        <v>0.570859842549416</v>
      </c>
      <c r="N47" s="10" t="n">
        <f aca="false">INDEX(Probabilidades!$P$2:$P$170,MATCH("42s",Probabilidades!$A$2:$A$170,0))</f>
        <v>0.560045026336159</v>
      </c>
    </row>
    <row r="48" customFormat="false" ht="15" hidden="false" customHeight="false" outlineLevel="0" collapsed="false">
      <c r="A48" s="9" t="s">
        <v>211</v>
      </c>
      <c r="B48" s="10" t="n">
        <f aca="false">INDEX(Probabilidades!$P$2:$P$170,MATCH("A3o",Probabilidades!$A$2:$A$170,0))</f>
        <v>0.51520181615662</v>
      </c>
      <c r="C48" s="10" t="n">
        <f aca="false">INDEX(Probabilidades!$P$2:$P$170,MATCH("K3o",Probabilidades!$A$2:$A$170,0))</f>
        <v>0.506695897600483</v>
      </c>
      <c r="D48" s="10" t="n">
        <f aca="false">INDEX(Probabilidades!$P$2:$P$170,MATCH("Q3o",Probabilidades!$A$2:$A$170,0))</f>
        <v>0.509863316279333</v>
      </c>
      <c r="E48" s="10" t="n">
        <f aca="false">INDEX(Probabilidades!$P$2:$P$170,MATCH("J3o",Probabilidades!$A$2:$A$170,0))</f>
        <v>0.513030734958183</v>
      </c>
      <c r="F48" s="10" t="n">
        <f aca="false">INDEX(Probabilidades!$P$2:$P$170,MATCH("T3o",Probabilidades!$A$2:$A$170,0))</f>
        <v>0.516198153637033</v>
      </c>
      <c r="G48" s="10" t="n">
        <f aca="false">INDEX(Probabilidades!$P$2:$P$170,MATCH("93o",Probabilidades!$A$2:$A$170,0))</f>
        <v>0.515730427231022</v>
      </c>
      <c r="H48" s="10" t="n">
        <f aca="false">INDEX(Probabilidades!$P$2:$P$170,MATCH("83o",Probabilidades!$A$2:$A$170,0))</f>
        <v>0.512680530121392</v>
      </c>
      <c r="I48" s="10" t="n">
        <f aca="false">INDEX(Probabilidades!$P$2:$P$170,MATCH("73o",Probabilidades!$A$2:$A$170,0))</f>
        <v>0.521186448677528</v>
      </c>
      <c r="J48" s="10" t="n">
        <f aca="false">INDEX(Probabilidades!$P$2:$P$170,MATCH("63o",Probabilidades!$A$2:$A$170,0))</f>
        <v>0.529692367233665</v>
      </c>
      <c r="K48" s="10" t="n">
        <f aca="false">INDEX(Probabilidades!$P$2:$P$170,MATCH("53o",Probabilidades!$A$2:$A$170,0))</f>
        <v>0.541715909305443</v>
      </c>
      <c r="L48" s="10" t="n">
        <f aca="false">INDEX(Probabilidades!$P$2:$P$170,MATCH("43o",Probabilidades!$A$2:$A$170,0))</f>
        <v>0.538548490626593</v>
      </c>
      <c r="M48" s="10" t="n">
        <f aca="false">INDEX(Probabilidades!$P$2:$P$170,MATCH("33",Probabilidades!$A$2:$A$170,0))</f>
        <v>0.947457947101135</v>
      </c>
      <c r="N48" s="10" t="n">
        <f aca="false">INDEX(Probabilidades!$P$2:$P$170,MATCH("32s",Probabilidades!$A$2:$A$170,0))</f>
        <v>0.557131057788518</v>
      </c>
    </row>
    <row r="49" customFormat="false" ht="15" hidden="false" customHeight="false" outlineLevel="0" collapsed="false">
      <c r="A49" s="9" t="s">
        <v>212</v>
      </c>
      <c r="B49" s="10" t="n">
        <f aca="false">INDEX(Probabilidades!$P$2:$P$170,MATCH("A2o",Probabilidades!$A$2:$A$170,0))</f>
        <v>0.51203439747777</v>
      </c>
      <c r="C49" s="10" t="n">
        <f aca="false">INDEX(Probabilidades!$P$2:$P$170,MATCH("K2o",Probabilidades!$A$2:$A$170,0))</f>
        <v>0.503528478921633</v>
      </c>
      <c r="D49" s="10" t="n">
        <f aca="false">INDEX(Probabilidades!$P$2:$P$170,MATCH("Q2o",Probabilidades!$A$2:$A$170,0))</f>
        <v>0.506695897600483</v>
      </c>
      <c r="E49" s="10" t="n">
        <f aca="false">INDEX(Probabilidades!$P$2:$P$170,MATCH("J2o",Probabilidades!$A$2:$A$170,0))</f>
        <v>0.509863316279333</v>
      </c>
      <c r="F49" s="10" t="n">
        <f aca="false">INDEX(Probabilidades!$P$2:$P$170,MATCH("T2o",Probabilidades!$A$2:$A$170,0))</f>
        <v>0.513030734958183</v>
      </c>
      <c r="G49" s="10" t="n">
        <f aca="false">INDEX(Probabilidades!$P$2:$P$170,MATCH("92o",Probabilidades!$A$2:$A$170,0))</f>
        <v>0.512563008552172</v>
      </c>
      <c r="H49" s="10" t="n">
        <f aca="false">INDEX(Probabilidades!$P$2:$P$170,MATCH("82o",Probabilidades!$A$2:$A$170,0))</f>
        <v>0.512563008552172</v>
      </c>
      <c r="I49" s="10" t="n">
        <f aca="false">INDEX(Probabilidades!$P$2:$P$170,MATCH("72o",Probabilidades!$A$2:$A$170,0))</f>
        <v>0.509513111442542</v>
      </c>
      <c r="J49" s="10" t="n">
        <f aca="false">INDEX(Probabilidades!$P$2:$P$170,MATCH("62o",Probabilidades!$A$2:$A$170,0))</f>
        <v>0.518019029998678</v>
      </c>
      <c r="K49" s="10" t="n">
        <f aca="false">INDEX(Probabilidades!$P$2:$P$170,MATCH("52o",Probabilidades!$A$2:$A$170,0))</f>
        <v>0.530042572070456</v>
      </c>
      <c r="L49" s="10" t="n">
        <f aca="false">INDEX(Probabilidades!$P$2:$P$170,MATCH("42o",Probabilidades!$A$2:$A$170,0))</f>
        <v>0.526875153391606</v>
      </c>
      <c r="M49" s="10" t="n">
        <f aca="false">INDEX(Probabilidades!$P$2:$P$170,MATCH("32o",Probabilidades!$A$2:$A$170,0))</f>
        <v>0.523707734712757</v>
      </c>
      <c r="N49" s="10" t="n">
        <f aca="false">INDEX(Probabilidades!$P$2:$P$170,MATCH("22",Probabilidades!$A$2:$A$170,0))</f>
        <v>0.947222903962695</v>
      </c>
    </row>
  </sheetData>
  <conditionalFormatting sqref="B3:N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0:N3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37:N4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3" t="s">
        <v>215</v>
      </c>
      <c r="B1" s="3" t="s">
        <v>216</v>
      </c>
      <c r="C1" s="3" t="s">
        <v>217</v>
      </c>
      <c r="D1" s="3" t="s">
        <v>218</v>
      </c>
      <c r="E1" s="3" t="s">
        <v>219</v>
      </c>
    </row>
    <row r="2" customFormat="false" ht="15" hidden="false" customHeight="false" outlineLevel="0" collapsed="false">
      <c r="A2" s="4" t="s">
        <v>15</v>
      </c>
      <c r="B2" s="11" t="n">
        <f aca="false">SUMPRODUCT(Probabilidades!$C$2:$C$170,Probabilidades!D$2:D$170)/SUM(Probabilidades!$C$2:$C$170)</f>
        <v>0.174119195817514</v>
      </c>
      <c r="C2" s="11" t="n">
        <f aca="false">D2/$D$12</f>
        <v>0.174119195817514</v>
      </c>
      <c r="D2" s="5" t="n">
        <v>23294460</v>
      </c>
      <c r="E2" s="12" t="n">
        <f aca="false">B2-C2</f>
        <v>0</v>
      </c>
    </row>
    <row r="3" customFormat="false" ht="15" hidden="false" customHeight="false" outlineLevel="0" collapsed="false">
      <c r="A3" s="4" t="s">
        <v>16</v>
      </c>
      <c r="B3" s="11" t="n">
        <f aca="false">SUMPRODUCT(Probabilidades!$C$2:$C$170,Probabilidades!E$2:E$170)/SUM(Probabilidades!$C$2:$C$170)</f>
        <v>0.438225457407043</v>
      </c>
      <c r="C3" s="11" t="n">
        <f aca="false">D3/$D$12</f>
        <v>0.438225457407043</v>
      </c>
      <c r="D3" s="5" t="n">
        <v>58627800</v>
      </c>
      <c r="E3" s="12" t="n">
        <f aca="false">B3-C3</f>
        <v>0</v>
      </c>
    </row>
    <row r="4" customFormat="false" ht="15" hidden="false" customHeight="false" outlineLevel="0" collapsed="false">
      <c r="A4" s="4" t="s">
        <v>17</v>
      </c>
      <c r="B4" s="11" t="n">
        <f aca="false">SUMPRODUCT(Probabilidades!$C$2:$C$170,Probabilidades!F$2:F$170)/SUM(Probabilidades!$C$2:$C$170)</f>
        <v>0.234955364056958</v>
      </c>
      <c r="C4" s="11" t="n">
        <f aca="false">D4/$D$12</f>
        <v>0.234955364056958</v>
      </c>
      <c r="D4" s="5" t="n">
        <v>31433400</v>
      </c>
      <c r="E4" s="12" t="n">
        <f aca="false">B4-C4</f>
        <v>0</v>
      </c>
    </row>
    <row r="5" customFormat="false" ht="15" hidden="false" customHeight="false" outlineLevel="0" collapsed="false">
      <c r="A5" s="4" t="s">
        <v>18</v>
      </c>
      <c r="B5" s="11" t="n">
        <f aca="false">SUMPRODUCT(Probabilidades!$C$2:$C$170,Probabilidades!G$2:G$170)/SUM(Probabilidades!$C$2:$C$170)</f>
        <v>0.0482986975477589</v>
      </c>
      <c r="C5" s="11" t="n">
        <f aca="false">D5/$D$12</f>
        <v>0.0482986975477589</v>
      </c>
      <c r="D5" s="5" t="n">
        <v>6461620</v>
      </c>
      <c r="E5" s="12" t="n">
        <f aca="false">B5-C5</f>
        <v>0</v>
      </c>
    </row>
    <row r="6" customFormat="false" ht="15" hidden="false" customHeight="false" outlineLevel="0" collapsed="false">
      <c r="A6" s="4" t="s">
        <v>19</v>
      </c>
      <c r="B6" s="11" t="n">
        <f aca="false">SUMPRODUCT(Probabilidades!$C$2:$C$170,Probabilidades!H$2:H$170)/SUM(Probabilidades!$C$2:$C$170)</f>
        <v>0.046193820871407</v>
      </c>
      <c r="C6" s="11" t="n">
        <f aca="false">D6/$D$12</f>
        <v>0.046193820871407</v>
      </c>
      <c r="D6" s="5" t="n">
        <v>6180020</v>
      </c>
      <c r="E6" s="12" t="n">
        <f aca="false">B6-C6</f>
        <v>0</v>
      </c>
    </row>
    <row r="7" customFormat="false" ht="15" hidden="false" customHeight="false" outlineLevel="0" collapsed="false">
      <c r="A7" s="4" t="s">
        <v>20</v>
      </c>
      <c r="B7" s="11" t="n">
        <f aca="false">SUMPRODUCT(Probabilidades!$C$2:$C$170,Probabilidades!I$2:I$170)/SUM(Probabilidades!$C$2:$C$170)</f>
        <v>0.0302549412278966</v>
      </c>
      <c r="C7" s="11" t="n">
        <f aca="false">D7/$D$12</f>
        <v>0.0302549412278966</v>
      </c>
      <c r="D7" s="5" t="n">
        <v>4047644</v>
      </c>
      <c r="E7" s="12" t="n">
        <f aca="false">B7-C7</f>
        <v>0</v>
      </c>
    </row>
    <row r="8" customFormat="false" ht="15" hidden="false" customHeight="false" outlineLevel="0" collapsed="false">
      <c r="A8" s="4" t="s">
        <v>21</v>
      </c>
      <c r="B8" s="11" t="n">
        <f aca="false">SUMPRODUCT(Probabilidades!$C$2:$C$170,Probabilidades!J$2:J$170)/SUM(Probabilidades!$C$2:$C$170)</f>
        <v>0.0259610227069551</v>
      </c>
      <c r="C8" s="11" t="n">
        <f aca="false">D8/$D$12</f>
        <v>0.0259610227069551</v>
      </c>
      <c r="D8" s="5" t="n">
        <v>3473184</v>
      </c>
      <c r="E8" s="12" t="n">
        <f aca="false">B8-C8</f>
        <v>0</v>
      </c>
    </row>
    <row r="9" customFormat="false" ht="15" hidden="false" customHeight="false" outlineLevel="0" collapsed="false">
      <c r="A9" s="4" t="s">
        <v>22</v>
      </c>
      <c r="B9" s="11" t="n">
        <f aca="false">SUMPRODUCT(Probabilidades!$C$2:$C$170,Probabilidades!K$2:K$170)/SUM(Probabilidades!$C$2:$C$170)</f>
        <v>0.00168067226890756</v>
      </c>
      <c r="C9" s="11" t="n">
        <f aca="false">D9/$D$12</f>
        <v>0.00168067226890756</v>
      </c>
      <c r="D9" s="5" t="n">
        <v>224848</v>
      </c>
      <c r="E9" s="12" t="n">
        <f aca="false">B9-C9</f>
        <v>0</v>
      </c>
    </row>
    <row r="10" customFormat="false" ht="15" hidden="false" customHeight="false" outlineLevel="0" collapsed="false">
      <c r="A10" s="4" t="s">
        <v>23</v>
      </c>
      <c r="B10" s="11" t="n">
        <f aca="false">SUMPRODUCT(Probabilidades!$C$2:$C$170,Probabilidades!L$2:L$170)/SUM(Probabilidades!$C$2:$C$170)</f>
        <v>0.000310828095559009</v>
      </c>
      <c r="C10" s="11" t="n">
        <f aca="false">D10/$D$12</f>
        <v>0.000310828095559009</v>
      </c>
      <c r="D10" s="5" t="n">
        <v>41584</v>
      </c>
      <c r="E10" s="12" t="n">
        <f aca="false">B10-C10</f>
        <v>0</v>
      </c>
    </row>
    <row r="12" customFormat="false" ht="15" hidden="false" customHeight="false" outlineLevel="0" collapsed="false">
      <c r="A12" s="8" t="s">
        <v>220</v>
      </c>
      <c r="D12" s="13" t="n">
        <f aca="false">SUM(D2:D10)</f>
        <v>133784560</v>
      </c>
    </row>
    <row r="14" customFormat="false" ht="15" hidden="false" customHeight="false" outlineLevel="0" collapsed="false">
      <c r="A14" s="4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2026-09-28T03:49:49Z</dcterms:created>
  <dc:creator>openpyxl</dc:creator>
  <dc:description/>
  <dc:language>en-US</dc:language>
  <cp:lastModifiedBy/>
  <dcterms:modified xsi:type="dcterms:W3CDTF">2026-09-28T03:49:49Z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